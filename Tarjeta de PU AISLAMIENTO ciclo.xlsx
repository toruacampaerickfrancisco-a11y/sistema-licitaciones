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k\Desktop\Opus\"/>
    </mc:Choice>
  </mc:AlternateContent>
  <xr:revisionPtr revIDLastSave="0" documentId="8_{F3577855-C58C-4C5B-B771-F314A04103C8}" xr6:coauthVersionLast="47" xr6:coauthVersionMax="47" xr10:uidLastSave="{00000000-0000-0000-0000-000000000000}"/>
  <bookViews>
    <workbookView xWindow="-120" yWindow="-120" windowWidth="29040" windowHeight="15720" tabRatio="802" activeTab="8" xr2:uid="{00000000-000D-0000-FFFF-FFFF00000000}"/>
  </bookViews>
  <sheets>
    <sheet name="1) FSBC" sheetId="125" r:id="rId1"/>
    <sheet name="2) FST" sheetId="126" r:id="rId2"/>
    <sheet name="Salarios" sheetId="40" r:id="rId3"/>
    <sheet name="CUADR 1" sheetId="131" r:id="rId4"/>
    <sheet name="CUADR 2" sheetId="133" r:id="rId5"/>
    <sheet name="CUADR 3" sheetId="141" r:id="rId6"/>
    <sheet name="CUADR 4" sheetId="150" r:id="rId7"/>
    <sheet name="EQUIPOS" sheetId="101" r:id="rId8"/>
    <sheet name="Materiales" sheetId="80" r:id="rId9"/>
    <sheet name="SOBRECOSTOS" sheetId="102" r:id="rId10"/>
    <sheet name="Catalogo" sheetId="39" r:id="rId11"/>
    <sheet name="PU 1.1" sheetId="99" r:id="rId12"/>
    <sheet name="PU 1.2" sheetId="156" r:id="rId13"/>
    <sheet name="PU 1.3" sheetId="157" r:id="rId14"/>
    <sheet name="PU 1.4" sheetId="153" r:id="rId15"/>
    <sheet name="PU 1.5" sheetId="158" r:id="rId16"/>
    <sheet name="PU 1.6" sheetId="159" r:id="rId17"/>
    <sheet name="PU 1.7" sheetId="160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AnticipoInicialProveedor">[1]DatosObra!$E$46</definedName>
    <definedName name="area">'[2]N_Campos Generales'!$C$21</definedName>
    <definedName name="_xlnm.Print_Area" localSheetId="10">Catalogo!$A$1:$M$42</definedName>
    <definedName name="Capacidad">'[3]N_Campos Especificos'!$D$85</definedName>
    <definedName name="CapacidadCarter">'[3]N_Campos Especificos'!$D$27</definedName>
    <definedName name="CapacidadContratacion" localSheetId="3">'[4]Cargos Adicionales'!#REF!</definedName>
    <definedName name="CapacidadContratacion" localSheetId="4">'[4]Cargos Adicionales'!#REF!</definedName>
    <definedName name="CapacidadContratacion" localSheetId="5">'[4]Cargos Adicionales'!#REF!</definedName>
    <definedName name="CapacidadContratacion" localSheetId="6">'[4]Cargos Adicionales'!#REF!</definedName>
    <definedName name="CapacidadContratacion" localSheetId="12">'[4]Cargos Adicionales'!#REF!</definedName>
    <definedName name="CapacidadContratacion" localSheetId="13">'[4]Cargos Adicionales'!#REF!</definedName>
    <definedName name="CapacidadContratacion" localSheetId="14">'[4]Cargos Adicionales'!#REF!</definedName>
    <definedName name="CapacidadContratacion" localSheetId="15">'[4]Cargos Adicionales'!#REF!</definedName>
    <definedName name="CapacidadContratacion" localSheetId="16">'[4]Cargos Adicionales'!#REF!</definedName>
    <definedName name="CapacidadContratacion" localSheetId="17">'[4]Cargos Adicionales'!#REF!</definedName>
    <definedName name="CapacidadContratacion">'[4]Cargos Adicionales'!#REF!</definedName>
    <definedName name="cargo">'[2]N_Campos Generales'!$C$18</definedName>
    <definedName name="CargoAdicional">[5]Datos!$C$7</definedName>
    <definedName name="CI" localSheetId="3">'[4]Cargos Adicionales'!#REF!</definedName>
    <definedName name="CI" localSheetId="4">'[4]Cargos Adicionales'!#REF!</definedName>
    <definedName name="CI" localSheetId="5">'[4]Cargos Adicionales'!#REF!</definedName>
    <definedName name="CI" localSheetId="6">'[4]Cargos Adicionales'!#REF!</definedName>
    <definedName name="CI" localSheetId="12">'[4]Cargos Adicionales'!#REF!</definedName>
    <definedName name="CI" localSheetId="13">'[4]Cargos Adicionales'!#REF!</definedName>
    <definedName name="CI" localSheetId="14">'[4]Cargos Adicionales'!#REF!</definedName>
    <definedName name="CI" localSheetId="15">'[4]Cargos Adicionales'!#REF!</definedName>
    <definedName name="CI" localSheetId="16">'[4]Cargos Adicionales'!#REF!</definedName>
    <definedName name="CI" localSheetId="17">'[4]Cargos Adicionales'!#REF!</definedName>
    <definedName name="CI">'[4]Cargos Adicionales'!#REF!</definedName>
    <definedName name="CodigoEquipo">'[3]N_Campos Especificos'!$D$81</definedName>
    <definedName name="Combustible">'[3]N_Campos Especificos'!$D$20</definedName>
    <definedName name="Combustible_Formula">'[3]N_Campos Especificos'!$L$8</definedName>
    <definedName name="CombustibleA_Monto">'[3]N_Campos Especificos'!$O$8</definedName>
    <definedName name="CombustibleE_Monto">'[3]N_Campos Especificos'!$P$8</definedName>
    <definedName name="CombustibleE_Porcentaje">'[3]N_Campos Especificos'!$I$8</definedName>
    <definedName name="CombustibleR_Monto">'[3]N_Campos Especificos'!$Q$8</definedName>
    <definedName name="CombustibleR_Porcentaje">'[3]N_Campos Especificos'!$J$8</definedName>
    <definedName name="CombustibleSustitucion">'[3]N_Campos Especificos'!$N$8</definedName>
    <definedName name="ConsumoGa">'[3]N_Campos Especificos'!$E$29</definedName>
    <definedName name="Costo_directo">[2]DatosObra!$E$3</definedName>
    <definedName name="CostoActivo">'[3]N_Campos Especificos'!$E$57</definedName>
    <definedName name="CostoCargoFijoA">'[3]N_Campos Especificos'!$E$54</definedName>
    <definedName name="CostoCargoFijoE">'[3]N_Campos Especificos'!$E$55</definedName>
    <definedName name="CostoCargoFijoR">'[3]N_Campos Especificos'!$E$56</definedName>
    <definedName name="CostoCombustible">'[3]N_Campos Especificos'!$D$21</definedName>
    <definedName name="CostoConsumoA">'[3]N_Campos Especificos'!$O$15</definedName>
    <definedName name="CostoDirecto">[5]Datos!$C$14</definedName>
    <definedName name="CostoDirectoMasIndirecto">[1]DatosObra!$D$90</definedName>
    <definedName name="CostoEspera">'[3]N_Campos Especificos'!$E$58</definedName>
    <definedName name="CostoLubricante">'[3]N_Campos Especificos'!$D$23</definedName>
    <definedName name="CostoOperacionA">'[3]N_Campos Especificos'!$O$17</definedName>
    <definedName name="CostoOperacionE">'[3]N_Campos Especificos'!$P$17</definedName>
    <definedName name="CostoOperacionR">'[3]N_Campos Especificos'!$Q$17</definedName>
    <definedName name="CostoPzsEsp">'[3]N_Campos Especificos'!$D$8</definedName>
    <definedName name="CostoReserva">'[3]N_Campos Especificos'!$E$59</definedName>
    <definedName name="DecimalesRedondeo">[5]Datos!$C$15</definedName>
    <definedName name="departamento">'[2]N_Campos Generales'!$C$22</definedName>
    <definedName name="Depreciacion_Formula">'[3]N_Campos Especificos'!$L$4</definedName>
    <definedName name="Depreciacion_Sustitucion">'[3]N_Campos Especificos'!$N$4</definedName>
    <definedName name="DepreciacionA_Monto">'[3]N_Campos Especificos'!$O$4</definedName>
    <definedName name="DepreciacionE_Monto">'[3]N_Campos Especificos'!$P$4</definedName>
    <definedName name="DepreciacionE_Procentaje">'[3]N_Campos Especificos'!$I$4</definedName>
    <definedName name="DepreciacionR_Monto">'[3]N_Campos Especificos'!$Q$4</definedName>
    <definedName name="DepreciacionR_Porcentaje">'[3]N_Campos Especificos'!$J$4</definedName>
    <definedName name="DescripcionEquipo">'[3]N_Campos Especificos'!$D$82</definedName>
    <definedName name="DIAS_DEL_AÑO">[1]Programa!$G$5</definedName>
    <definedName name="DiasPagoEstimaciones">[1]DatosObra!$E$53</definedName>
    <definedName name="EJERCICIO1">[2]DatosObra!$D$82</definedName>
    <definedName name="EJERCICIO2">[2]DatosObra!$D$83</definedName>
    <definedName name="EXHIBICION1">[2]DatosObra!$D$76</definedName>
    <definedName name="EXHIBICION2">[2]DatosObra!$D$77</definedName>
    <definedName name="FactorCombustible">'[3]N_Campos Especificos'!$D$25</definedName>
    <definedName name="FactorLubricante">'[3]N_Campos Especificos'!$D$26</definedName>
    <definedName name="FactorMantenimiento">'[3]N_Campos Especificos'!$D$40</definedName>
    <definedName name="FactorOperacion">'[3]N_Campos Especificos'!$D$12</definedName>
    <definedName name="FactorRendimiento">'[3]N_Campos Especificos'!$D$16</definedName>
    <definedName name="fechainicio">'[1]N_Campos Generales'!$C$45</definedName>
    <definedName name="fechaterminacion">'[1]N_Campos Generales'!$C$46</definedName>
    <definedName name="Financiamiento">[5]Datos!$C$5</definedName>
    <definedName name="HorasEfectivasTurnoTexto">'[3]N_Campos Especificos'!$E$18</definedName>
    <definedName name="HorasXAño">'[3]N_Campos Especificos'!$D$35</definedName>
    <definedName name="IAOC_Adm">'[2]a)Plantilla'!$A$50</definedName>
    <definedName name="IAOC_Dir">'[2]a)Plantilla'!$A$34</definedName>
    <definedName name="IAOC_Tec">'[2]a)Plantilla'!$A$41</definedName>
    <definedName name="Importe_Campo" localSheetId="3">'[4]Cargos Adicionales'!#REF!</definedName>
    <definedName name="Importe_Campo" localSheetId="4">'[4]Cargos Adicionales'!#REF!</definedName>
    <definedName name="Importe_Campo" localSheetId="5">'[4]Cargos Adicionales'!#REF!</definedName>
    <definedName name="Importe_Campo" localSheetId="6">'[4]Cargos Adicionales'!#REF!</definedName>
    <definedName name="Importe_Campo" localSheetId="12">'[4]Cargos Adicionales'!#REF!</definedName>
    <definedName name="Importe_Campo" localSheetId="13">'[4]Cargos Adicionales'!#REF!</definedName>
    <definedName name="Importe_Campo" localSheetId="14">'[4]Cargos Adicionales'!#REF!</definedName>
    <definedName name="Importe_Campo" localSheetId="15">'[4]Cargos Adicionales'!#REF!</definedName>
    <definedName name="Importe_Campo" localSheetId="16">'[4]Cargos Adicionales'!#REF!</definedName>
    <definedName name="Importe_Campo" localSheetId="17">'[4]Cargos Adicionales'!#REF!</definedName>
    <definedName name="Importe_Campo">'[4]Cargos Adicionales'!#REF!</definedName>
    <definedName name="Importe_Central" localSheetId="1">'[4]Cargos Adicionales'!#REF!</definedName>
    <definedName name="Importe_Central" localSheetId="3">'[4]Cargos Adicionales'!#REF!</definedName>
    <definedName name="Importe_Central" localSheetId="4">'[4]Cargos Adicionales'!#REF!</definedName>
    <definedName name="Importe_Central" localSheetId="5">'[4]Cargos Adicionales'!#REF!</definedName>
    <definedName name="Importe_Central" localSheetId="6">'[4]Cargos Adicionales'!#REF!</definedName>
    <definedName name="Importe_Central" localSheetId="12">'[4]Cargos Adicionales'!#REF!</definedName>
    <definedName name="Importe_Central" localSheetId="13">'[4]Cargos Adicionales'!#REF!</definedName>
    <definedName name="Importe_Central" localSheetId="14">'[4]Cargos Adicionales'!#REF!</definedName>
    <definedName name="Importe_Central" localSheetId="15">'[4]Cargos Adicionales'!#REF!</definedName>
    <definedName name="Importe_Central" localSheetId="16">'[4]Cargos Adicionales'!#REF!</definedName>
    <definedName name="Importe_Central" localSheetId="17">'[4]Cargos Adicionales'!#REF!</definedName>
    <definedName name="Importe_Central">'[4]Cargos Adicionales'!#REF!</definedName>
    <definedName name="Importe_Financiamiento">'[6]d)Financ_Horizontal'!$G$44</definedName>
    <definedName name="Importe_Indirecto">'[6]b)Indirectos Desglosados'!$F$94</definedName>
    <definedName name="ImporteAnticipo1">[1]DatosObra!$F$105</definedName>
    <definedName name="ImporteEjercerEjercicio1">[2]DatosObra!$E$82</definedName>
    <definedName name="ImprimirCompleta">'[3]N_Campos Especificos'!$D$86</definedName>
    <definedName name="IndicadorEcon1">[1]DatosObra!$E$10</definedName>
    <definedName name="IndicadorEconomicoReferencia">'[3]N_Campos Especificos'!$C$41</definedName>
    <definedName name="IndicadorEspecificoMercado">'[3]N_Campos Especificos'!$C$42</definedName>
    <definedName name="IndirectosGlobales">[5]Datos!$C$2</definedName>
    <definedName name="Intereses_a_considerar">[1]DatosObra!$E$34</definedName>
    <definedName name="Inversion_Formula">'[3]N_Campos Especificos'!$L$5</definedName>
    <definedName name="Inversion_Sustitucion">'[3]N_Campos Especificos'!$N$5</definedName>
    <definedName name="InversionA_Monto">'[3]N_Campos Especificos'!$O$5</definedName>
    <definedName name="InversionE_Monto">'[3]N_Campos Especificos'!$P$5</definedName>
    <definedName name="InversionE_Porcentaje">'[3]N_Campos Especificos'!$I$5</definedName>
    <definedName name="InversionR_Monto">'[3]N_Campos Especificos'!$Q$5</definedName>
    <definedName name="InversionR_Porcentaje">'[3]N_Campos Especificos'!$J$5</definedName>
    <definedName name="ISR">[6]DatosObra!$E$11</definedName>
    <definedName name="Llantas_Formula">'[3]N_Campos Especificos'!$L$10</definedName>
    <definedName name="Llantas_Sustitucion">'[3]N_Campos Especificos'!$N$10</definedName>
    <definedName name="LlantasA_Monto">'[3]N_Campos Especificos'!$O$10</definedName>
    <definedName name="LlantasE_Monto">'[3]N_Campos Especificos'!$P$10</definedName>
    <definedName name="LlantasE_Porcentaje">'[3]N_Campos Especificos'!$I$10</definedName>
    <definedName name="LlantasR_Monto">'[3]N_Campos Especificos'!$Q$10</definedName>
    <definedName name="LlantasR_Porcentaje">'[3]N_Campos Especificos'!$J$10</definedName>
    <definedName name="Lubricante_Formula">'[3]N_Campos Especificos'!$L$9</definedName>
    <definedName name="Lubricante_Sustitucion">'[3]N_Campos Especificos'!$N$9</definedName>
    <definedName name="LubricanteA_Monto">'[3]N_Campos Especificos'!$O$9</definedName>
    <definedName name="LubricanteE_Monto">'[3]N_Campos Especificos'!$P$9</definedName>
    <definedName name="LubricanteE_Porcentaje">'[3]N_Campos Especificos'!$I$9</definedName>
    <definedName name="LubricanteR_Monto">'[3]N_Campos Especificos'!$Q$9</definedName>
    <definedName name="LubricanteR_Porcentaje">'[3]N_Campos Especificos'!$J$9</definedName>
    <definedName name="Mano_Gravable_ok">[6]DatosObra!$F$4</definedName>
    <definedName name="MantenimientoA_Monto">'[3]N_Campos Especificos'!$O$7</definedName>
    <definedName name="MantenimientoE_Monto">'[3]N_Campos Especificos'!$P$7</definedName>
    <definedName name="MantenimientoE_Porcentaje">'[3]N_Campos Especificos'!$I$7</definedName>
    <definedName name="MantenimientoR_Monto">'[3]N_Campos Especificos'!$Q$7</definedName>
    <definedName name="MantenimientoR_Porcentaje">'[3]N_Campos Especificos'!$J$7</definedName>
    <definedName name="Mantenimineto_Formula">'[3]N_Campos Especificos'!$L$7</definedName>
    <definedName name="Modelo">'[3]N_Campos Especificos'!$D$83</definedName>
    <definedName name="nombredelaobra">'[2]N_Campos Generales'!$C$35</definedName>
    <definedName name="numerodeconcurso">'[3]N_Campos Generales'!$C$31</definedName>
    <definedName name="NumeroDeSerie">'[3]N_Campos Especificos'!$D$84</definedName>
    <definedName name="Operacion_Formula">'[3]N_Campos Especificos'!$L$17</definedName>
    <definedName name="OperacionE_Porcentaje">'[3]N_Campos Especificos'!$I$12</definedName>
    <definedName name="OperacionR_Porcentaje">'[3]N_Campos Especificos'!$J$12</definedName>
    <definedName name="OtraFuentesE_Porcentaje">'[3]N_Campos Especificos'!$I$13</definedName>
    <definedName name="OtraFuentesR_Porcentaje">'[3]N_Campos Especificos'!$J$13</definedName>
    <definedName name="OtrasFuentes_Formula">'[3]N_Campos Especificos'!$L$12</definedName>
    <definedName name="OtrasFuentes_Sustitucion">'[3]N_Campos Especificos'!$N$12</definedName>
    <definedName name="OtrasFuentesA_Monto">'[3]N_Campos Especificos'!$O$12</definedName>
    <definedName name="OtrasFuentesE_Monto">'[3]N_Campos Especificos'!$P$12</definedName>
    <definedName name="OtrasFuentesR_Monto">'[3]N_Campos Especificos'!$Q$12</definedName>
    <definedName name="PeriodoFinalCobro">[1]DatosObra!$D$99</definedName>
    <definedName name="PeriodoInicialCobro">[1]DatosObra!$E$56</definedName>
    <definedName name="Piezas_Formula">'[3]N_Campos Especificos'!$L$11</definedName>
    <definedName name="Piezas_Sustucion">'[3]N_Campos Especificos'!$N$11</definedName>
    <definedName name="PiezasA_Monto">'[3]N_Campos Especificos'!$O$11</definedName>
    <definedName name="PiezasE_Monto">'[3]N_Campos Especificos'!$P$11</definedName>
    <definedName name="PiezasE_Porcentaje">'[3]N_Campos Especificos'!$I$11</definedName>
    <definedName name="PiezasR_Monto">'[3]N_Campos Especificos'!$Q$11</definedName>
    <definedName name="PiezasR_Porcentaje">'[3]N_Campos Especificos'!$J$11</definedName>
    <definedName name="plazocalculado">'[1]N_Campos Generales'!$C$51</definedName>
    <definedName name="Porcentaje_Indirecto">'[6]b)Indirectos Desglosados'!$F$95</definedName>
    <definedName name="Porcentaje_Utilidad_Propuesta">[6]DatosObra!$E$7</definedName>
    <definedName name="PorcentajeAnticipo1">[2]DatosObra!$B$105</definedName>
    <definedName name="PorcentajeFinanciamiento">'[6]d)Financ_Horizontal'!$I$44</definedName>
    <definedName name="PorcentajeNomina">[6]DatosObra!$E$47</definedName>
    <definedName name="PotenciaNominal">'[3]N_Campos Especificos'!$D$11</definedName>
    <definedName name="PotenciaOperación">'[3]N_Campos Especificos'!$E$13</definedName>
    <definedName name="PrecioEquipoAdicional">'[3]N_Campos Especificos'!$D$6</definedName>
    <definedName name="PrecioLlantas">'[3]N_Campos Especificos'!$D$5</definedName>
    <definedName name="PrimaSeguros">'[3]N_Campos Especificos'!$D$39</definedName>
    <definedName name="PTU">[6]DatosObra!$E$12</definedName>
    <definedName name="PuntosBanco">[1]DatosObra!$E$9</definedName>
    <definedName name="razonsocial">'[2]N_Campos Generales'!$C$6</definedName>
    <definedName name="Redondeo_Para_factores">'[7]a)TablaFactores'!$H$11</definedName>
    <definedName name="responsable">'[2]N_Campos Generales'!$C$17</definedName>
    <definedName name="SalarioRealOperacion">'[3]N_Campos Especificos'!$X$9</definedName>
    <definedName name="Seguros_Formula">'[3]N_Campos Especificos'!$L$6</definedName>
    <definedName name="Seguros_Sustitucion">'[3]N_Campos Especificos'!$N$6</definedName>
    <definedName name="SegurosA_Monto">'[3]N_Campos Especificos'!$O$6</definedName>
    <definedName name="SegurosE_Monto">'[3]N_Campos Especificos'!$P$6</definedName>
    <definedName name="SegurosE_Porcentaje">'[3]N_Campos Especificos'!$I$6</definedName>
    <definedName name="SegurosR_Monto">'[3]N_Campos Especificos'!$Q$6</definedName>
    <definedName name="SegurosR_Porcentaje">'[3]N_Campos Especificos'!$J$6</definedName>
    <definedName name="TasaInteres">[1]DatosObra!$E$8</definedName>
    <definedName name="TiempoCambioLub">'[3]N_Campos Especificos'!$D$28</definedName>
    <definedName name="TipoDeAnticipo">[2]DatosObra!$E$21</definedName>
    <definedName name="TotalOtrosConsumos">'[3]N_Campos Especificos'!$AI$9</definedName>
    <definedName name="Utilidad">[5]Datos!$C$6</definedName>
    <definedName name="ValorMaquinaria">'[3]N_Campos Especificos'!$E$10</definedName>
    <definedName name="ValorRescate">'[3]N_Campos Especificos'!$D$37</definedName>
    <definedName name="ValorRescateMonto">'[3]N_Campos Especificos'!$E$37</definedName>
    <definedName name="VidaEcoAños">'[3]N_Campos Especificos'!$E$34</definedName>
    <definedName name="VidaEcoEQHrs">'[3]N_Campos Especificos'!$D$36</definedName>
    <definedName name="VidaEcoLlantasHrs">'[3]N_Campos Especificos'!$D$7</definedName>
    <definedName name="VidaEcoPiezasHrs">'[3]N_Campos Especificos'!$D$9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31" l="1"/>
  <c r="F36" i="160" l="1"/>
  <c r="H36" i="160" s="1"/>
  <c r="E36" i="160"/>
  <c r="A36" i="160"/>
  <c r="F35" i="160"/>
  <c r="H35" i="160" s="1"/>
  <c r="E35" i="160"/>
  <c r="A35" i="160"/>
  <c r="A31" i="160"/>
  <c r="A30" i="160"/>
  <c r="A29" i="160"/>
  <c r="E25" i="160"/>
  <c r="A25" i="160"/>
  <c r="F24" i="160"/>
  <c r="H24" i="160" s="1"/>
  <c r="E24" i="160"/>
  <c r="A24" i="160"/>
  <c r="F23" i="160"/>
  <c r="H23" i="160" s="1"/>
  <c r="E23" i="160"/>
  <c r="A23" i="160"/>
  <c r="E22" i="160"/>
  <c r="A22" i="160"/>
  <c r="F21" i="160"/>
  <c r="H21" i="160" s="1"/>
  <c r="E21" i="160"/>
  <c r="A21" i="160"/>
  <c r="F20" i="160"/>
  <c r="H20" i="160" s="1"/>
  <c r="E20" i="160"/>
  <c r="A20" i="160"/>
  <c r="E19" i="160"/>
  <c r="A19" i="160"/>
  <c r="F18" i="160"/>
  <c r="H18" i="160" s="1"/>
  <c r="E18" i="160"/>
  <c r="A18" i="160"/>
  <c r="F17" i="160"/>
  <c r="H17" i="160" s="1"/>
  <c r="E17" i="160"/>
  <c r="A17" i="160"/>
  <c r="D4" i="160"/>
  <c r="F36" i="159"/>
  <c r="H36" i="159" s="1"/>
  <c r="E36" i="159"/>
  <c r="A36" i="159"/>
  <c r="F35" i="159"/>
  <c r="H35" i="159" s="1"/>
  <c r="E35" i="159"/>
  <c r="A35" i="159"/>
  <c r="A31" i="159"/>
  <c r="A30" i="159"/>
  <c r="A29" i="159"/>
  <c r="E25" i="159"/>
  <c r="A25" i="159"/>
  <c r="F24" i="159"/>
  <c r="H24" i="159" s="1"/>
  <c r="E24" i="159"/>
  <c r="A24" i="159"/>
  <c r="E23" i="159"/>
  <c r="A23" i="159"/>
  <c r="F22" i="159"/>
  <c r="H22" i="159" s="1"/>
  <c r="E22" i="159"/>
  <c r="A22" i="159"/>
  <c r="F21" i="159"/>
  <c r="H21" i="159" s="1"/>
  <c r="E21" i="159"/>
  <c r="A21" i="159"/>
  <c r="F20" i="159"/>
  <c r="H20" i="159" s="1"/>
  <c r="E20" i="159"/>
  <c r="A20" i="159"/>
  <c r="F19" i="159"/>
  <c r="H19" i="159" s="1"/>
  <c r="E19" i="159"/>
  <c r="A19" i="159"/>
  <c r="F18" i="159"/>
  <c r="H18" i="159" s="1"/>
  <c r="E18" i="159"/>
  <c r="A18" i="159"/>
  <c r="F17" i="159"/>
  <c r="H17" i="159" s="1"/>
  <c r="E17" i="159"/>
  <c r="A17" i="159"/>
  <c r="D4" i="159"/>
  <c r="F36" i="158"/>
  <c r="H36" i="158" s="1"/>
  <c r="H37" i="158" s="1"/>
  <c r="E36" i="158"/>
  <c r="A36" i="158"/>
  <c r="F35" i="158"/>
  <c r="H35" i="158" s="1"/>
  <c r="E35" i="158"/>
  <c r="A35" i="158"/>
  <c r="A31" i="158"/>
  <c r="A30" i="158"/>
  <c r="A29" i="158"/>
  <c r="F25" i="158"/>
  <c r="H25" i="158" s="1"/>
  <c r="E25" i="158"/>
  <c r="A25" i="158"/>
  <c r="F24" i="158"/>
  <c r="H24" i="158" s="1"/>
  <c r="E24" i="158"/>
  <c r="A24" i="158"/>
  <c r="F23" i="158"/>
  <c r="H23" i="158" s="1"/>
  <c r="E23" i="158"/>
  <c r="A23" i="158"/>
  <c r="F22" i="158"/>
  <c r="H22" i="158" s="1"/>
  <c r="E22" i="158"/>
  <c r="A22" i="158"/>
  <c r="F21" i="158"/>
  <c r="H21" i="158" s="1"/>
  <c r="E21" i="158"/>
  <c r="A21" i="158"/>
  <c r="E20" i="158"/>
  <c r="A20" i="158"/>
  <c r="F19" i="158"/>
  <c r="H19" i="158" s="1"/>
  <c r="E19" i="158"/>
  <c r="A19" i="158"/>
  <c r="F18" i="158"/>
  <c r="H18" i="158" s="1"/>
  <c r="E18" i="158"/>
  <c r="A18" i="158"/>
  <c r="F17" i="158"/>
  <c r="H17" i="158" s="1"/>
  <c r="E17" i="158"/>
  <c r="A17" i="158"/>
  <c r="D4" i="158"/>
  <c r="F36" i="153"/>
  <c r="F35" i="153"/>
  <c r="E36" i="153"/>
  <c r="E35" i="153"/>
  <c r="A36" i="153"/>
  <c r="A35" i="153"/>
  <c r="A30" i="153"/>
  <c r="F24" i="153"/>
  <c r="H24" i="153" s="1"/>
  <c r="E25" i="153"/>
  <c r="E24" i="153"/>
  <c r="F23" i="153"/>
  <c r="H23" i="153" s="1"/>
  <c r="E23" i="153"/>
  <c r="A25" i="153"/>
  <c r="A24" i="153"/>
  <c r="A23" i="153"/>
  <c r="F22" i="153"/>
  <c r="F21" i="153"/>
  <c r="F19" i="153"/>
  <c r="F18" i="153"/>
  <c r="F17" i="153"/>
  <c r="E18" i="153"/>
  <c r="E19" i="153"/>
  <c r="E20" i="153"/>
  <c r="E21" i="153"/>
  <c r="E22" i="153"/>
  <c r="E17" i="153"/>
  <c r="A18" i="153"/>
  <c r="A19" i="153"/>
  <c r="A20" i="153"/>
  <c r="A21" i="153"/>
  <c r="A22" i="153"/>
  <c r="A17" i="153"/>
  <c r="E22" i="157"/>
  <c r="A22" i="157"/>
  <c r="E39" i="157"/>
  <c r="A39" i="157"/>
  <c r="F38" i="157"/>
  <c r="H38" i="157" s="1"/>
  <c r="E38" i="157"/>
  <c r="A38" i="157"/>
  <c r="F37" i="157"/>
  <c r="H37" i="157" s="1"/>
  <c r="E37" i="157"/>
  <c r="A37" i="157"/>
  <c r="F36" i="157"/>
  <c r="H36" i="157" s="1"/>
  <c r="E36" i="157"/>
  <c r="A36" i="157"/>
  <c r="A32" i="157"/>
  <c r="A31" i="157"/>
  <c r="A30" i="157"/>
  <c r="F23" i="157"/>
  <c r="H23" i="157" s="1"/>
  <c r="E23" i="157"/>
  <c r="A23" i="157"/>
  <c r="F21" i="157"/>
  <c r="H21" i="157" s="1"/>
  <c r="E21" i="157"/>
  <c r="A21" i="157"/>
  <c r="F20" i="157"/>
  <c r="H20" i="157" s="1"/>
  <c r="E20" i="157"/>
  <c r="A20" i="157"/>
  <c r="F19" i="157"/>
  <c r="H19" i="157" s="1"/>
  <c r="E19" i="157"/>
  <c r="A19" i="157"/>
  <c r="F18" i="157"/>
  <c r="H18" i="157" s="1"/>
  <c r="E18" i="157"/>
  <c r="A18" i="157"/>
  <c r="F17" i="157"/>
  <c r="H17" i="157" s="1"/>
  <c r="E17" i="157"/>
  <c r="A17" i="157"/>
  <c r="D4" i="157"/>
  <c r="E22" i="156"/>
  <c r="A22" i="156"/>
  <c r="E39" i="156"/>
  <c r="A39" i="156"/>
  <c r="F38" i="156"/>
  <c r="H38" i="156" s="1"/>
  <c r="E38" i="156"/>
  <c r="A38" i="156"/>
  <c r="F37" i="156"/>
  <c r="H37" i="156" s="1"/>
  <c r="E37" i="156"/>
  <c r="A37" i="156"/>
  <c r="F36" i="156"/>
  <c r="H36" i="156" s="1"/>
  <c r="E36" i="156"/>
  <c r="A36" i="156"/>
  <c r="A32" i="156"/>
  <c r="A31" i="156"/>
  <c r="A30" i="156"/>
  <c r="E23" i="156"/>
  <c r="A23" i="156"/>
  <c r="F21" i="156"/>
  <c r="H21" i="156" s="1"/>
  <c r="E21" i="156"/>
  <c r="A21" i="156"/>
  <c r="E20" i="156"/>
  <c r="A20" i="156"/>
  <c r="F19" i="156"/>
  <c r="H19" i="156" s="1"/>
  <c r="E19" i="156"/>
  <c r="A19" i="156"/>
  <c r="F18" i="156"/>
  <c r="H18" i="156" s="1"/>
  <c r="E18" i="156"/>
  <c r="A18" i="156"/>
  <c r="E17" i="156"/>
  <c r="A17" i="156"/>
  <c r="D4" i="156"/>
  <c r="F39" i="99"/>
  <c r="F38" i="99"/>
  <c r="F37" i="99"/>
  <c r="F36" i="99"/>
  <c r="E37" i="99"/>
  <c r="E38" i="99"/>
  <c r="E39" i="99"/>
  <c r="E36" i="99"/>
  <c r="A37" i="99"/>
  <c r="A38" i="99"/>
  <c r="A39" i="99"/>
  <c r="A36" i="99"/>
  <c r="A31" i="99"/>
  <c r="F22" i="99"/>
  <c r="F21" i="99"/>
  <c r="F20" i="99"/>
  <c r="F19" i="99"/>
  <c r="F18" i="99"/>
  <c r="F17" i="99"/>
  <c r="E18" i="99"/>
  <c r="E19" i="99"/>
  <c r="E20" i="99"/>
  <c r="E21" i="99"/>
  <c r="E22" i="99"/>
  <c r="E23" i="99"/>
  <c r="E17" i="99"/>
  <c r="A23" i="99"/>
  <c r="A22" i="99"/>
  <c r="A18" i="99"/>
  <c r="A19" i="99"/>
  <c r="A20" i="99"/>
  <c r="A21" i="99"/>
  <c r="A17" i="99"/>
  <c r="F19" i="80"/>
  <c r="F18" i="80"/>
  <c r="F14" i="80"/>
  <c r="F23" i="159" s="1"/>
  <c r="H23" i="159" s="1"/>
  <c r="F13" i="80"/>
  <c r="F22" i="160" s="1"/>
  <c r="H22" i="160" s="1"/>
  <c r="F12" i="80"/>
  <c r="F22" i="157" s="1"/>
  <c r="H22" i="157" s="1"/>
  <c r="F11" i="80"/>
  <c r="F22" i="156" s="1"/>
  <c r="H22" i="156" s="1"/>
  <c r="F10" i="80"/>
  <c r="F9" i="80"/>
  <c r="F8" i="80"/>
  <c r="F7" i="80"/>
  <c r="F20" i="156" s="1"/>
  <c r="H20" i="156" s="1"/>
  <c r="F6" i="80"/>
  <c r="F19" i="160" s="1"/>
  <c r="H19" i="160" s="1"/>
  <c r="F5" i="80"/>
  <c r="F4" i="80"/>
  <c r="F17" i="156" s="1"/>
  <c r="H17" i="156" s="1"/>
  <c r="G7" i="101"/>
  <c r="G6" i="101"/>
  <c r="G5" i="101"/>
  <c r="G4" i="101"/>
  <c r="A32" i="131"/>
  <c r="E31" i="133"/>
  <c r="A32" i="133"/>
  <c r="A32" i="141"/>
  <c r="A32" i="150"/>
  <c r="E31" i="150"/>
  <c r="E31" i="131"/>
  <c r="F25" i="160" l="1"/>
  <c r="H25" i="160" s="1"/>
  <c r="F25" i="159"/>
  <c r="H25" i="159" s="1"/>
  <c r="F25" i="153"/>
  <c r="F20" i="158"/>
  <c r="H20" i="158" s="1"/>
  <c r="F20" i="153"/>
  <c r="F23" i="156"/>
  <c r="H23" i="156" s="1"/>
  <c r="H27" i="156" s="1"/>
  <c r="F23" i="99"/>
  <c r="F39" i="157"/>
  <c r="H39" i="157" s="1"/>
  <c r="F39" i="156"/>
  <c r="H39" i="156" s="1"/>
  <c r="H40" i="157"/>
  <c r="H26" i="160"/>
  <c r="H37" i="160"/>
  <c r="H37" i="159"/>
  <c r="H26" i="159"/>
  <c r="H26" i="158"/>
  <c r="H27" i="157"/>
  <c r="H40" i="156"/>
  <c r="A31" i="153"/>
  <c r="A29" i="153"/>
  <c r="D4" i="153"/>
  <c r="A33" i="141" l="1"/>
  <c r="A34" i="150"/>
  <c r="A33" i="150"/>
  <c r="H35" i="153" l="1"/>
  <c r="H36" i="153"/>
  <c r="K57" i="131"/>
  <c r="H48" i="150"/>
  <c r="H42" i="150"/>
  <c r="A31" i="150"/>
  <c r="H28" i="150"/>
  <c r="A13" i="150"/>
  <c r="D4" i="150"/>
  <c r="A32" i="99"/>
  <c r="H37" i="153" l="1"/>
  <c r="E14" i="102"/>
  <c r="A33" i="133"/>
  <c r="F42" i="158" l="1"/>
  <c r="F42" i="160"/>
  <c r="F42" i="159"/>
  <c r="F45" i="157"/>
  <c r="F45" i="156"/>
  <c r="F45" i="99"/>
  <c r="F42" i="153"/>
  <c r="E10" i="102"/>
  <c r="E11" i="102"/>
  <c r="E12" i="102"/>
  <c r="E13" i="102"/>
  <c r="E9" i="102"/>
  <c r="G51" i="156" l="1"/>
  <c r="G48" i="158"/>
  <c r="G48" i="160"/>
  <c r="G48" i="159"/>
  <c r="G51" i="157"/>
  <c r="G49" i="158"/>
  <c r="G49" i="160"/>
  <c r="G49" i="159"/>
  <c r="G52" i="157"/>
  <c r="G52" i="156"/>
  <c r="G50" i="160"/>
  <c r="G50" i="159"/>
  <c r="G50" i="158"/>
  <c r="G53" i="157"/>
  <c r="G53" i="156"/>
  <c r="F40" i="159"/>
  <c r="F43" i="157"/>
  <c r="F40" i="158"/>
  <c r="F40" i="160"/>
  <c r="F43" i="156"/>
  <c r="G47" i="158"/>
  <c r="G47" i="160"/>
  <c r="G47" i="159"/>
  <c r="G50" i="157"/>
  <c r="G50" i="156"/>
  <c r="H19" i="153"/>
  <c r="H18" i="153"/>
  <c r="H22" i="153"/>
  <c r="H21" i="153"/>
  <c r="H17" i="153"/>
  <c r="H20" i="153"/>
  <c r="H25" i="153"/>
  <c r="H21" i="99"/>
  <c r="G49" i="153"/>
  <c r="F40" i="153"/>
  <c r="G50" i="153"/>
  <c r="G48" i="153"/>
  <c r="G47" i="153"/>
  <c r="F43" i="99"/>
  <c r="H23" i="99"/>
  <c r="H22" i="99"/>
  <c r="H26" i="153" l="1"/>
  <c r="D13" i="40"/>
  <c r="D12" i="40"/>
  <c r="K56" i="131" l="1"/>
  <c r="K55" i="131"/>
  <c r="K54" i="131"/>
  <c r="I9" i="126" l="1"/>
  <c r="J9" i="126"/>
  <c r="D11" i="40" s="1"/>
  <c r="K9" i="126"/>
  <c r="L9" i="126"/>
  <c r="M9" i="126"/>
  <c r="H9" i="126"/>
  <c r="D6" i="40" s="1"/>
  <c r="D10" i="40" l="1"/>
  <c r="D9" i="40"/>
  <c r="D8" i="40"/>
  <c r="D7" i="40"/>
  <c r="E31" i="141"/>
  <c r="H39" i="99" l="1"/>
  <c r="A30" i="99"/>
  <c r="H20" i="99"/>
  <c r="H19" i="99"/>
  <c r="G51" i="99" l="1"/>
  <c r="H41" i="141" l="1"/>
  <c r="A31" i="141"/>
  <c r="H28" i="141"/>
  <c r="A13" i="141"/>
  <c r="D4" i="141"/>
  <c r="H41" i="133"/>
  <c r="A31" i="133"/>
  <c r="H28" i="133"/>
  <c r="A13" i="133"/>
  <c r="D4" i="133"/>
  <c r="A31" i="131"/>
  <c r="A13" i="131"/>
  <c r="D4" i="131"/>
  <c r="H28" i="131" l="1"/>
  <c r="H41" i="131" l="1"/>
  <c r="D5" i="126" l="1"/>
  <c r="F11" i="126"/>
  <c r="G11" i="126"/>
  <c r="H11" i="126"/>
  <c r="I11" i="126"/>
  <c r="J11" i="126"/>
  <c r="K11" i="126"/>
  <c r="L11" i="126"/>
  <c r="M11" i="126"/>
  <c r="F12" i="126"/>
  <c r="G12" i="126"/>
  <c r="H12" i="126"/>
  <c r="I12" i="126"/>
  <c r="J12" i="126"/>
  <c r="K12" i="126"/>
  <c r="L12" i="126"/>
  <c r="M12" i="126"/>
  <c r="F14" i="126"/>
  <c r="G14" i="126"/>
  <c r="H14" i="126"/>
  <c r="I14" i="126"/>
  <c r="J14" i="126"/>
  <c r="K14" i="126"/>
  <c r="L14" i="126"/>
  <c r="M14" i="126"/>
  <c r="F15" i="126"/>
  <c r="F17" i="126" s="1"/>
  <c r="G15" i="126"/>
  <c r="G17" i="126" s="1"/>
  <c r="H15" i="126"/>
  <c r="H17" i="126" s="1"/>
  <c r="I15" i="126"/>
  <c r="J15" i="126"/>
  <c r="J17" i="126" s="1"/>
  <c r="K15" i="126"/>
  <c r="K17" i="126" s="1"/>
  <c r="L15" i="126"/>
  <c r="M15" i="126"/>
  <c r="M17" i="126" s="1"/>
  <c r="E21" i="126"/>
  <c r="E23" i="126"/>
  <c r="G23" i="126" s="1"/>
  <c r="E24" i="126"/>
  <c r="E25" i="126"/>
  <c r="E26" i="126"/>
  <c r="E28" i="126"/>
  <c r="E30" i="126"/>
  <c r="E33" i="126"/>
  <c r="E35" i="126"/>
  <c r="E39" i="126"/>
  <c r="F43" i="126"/>
  <c r="G43" i="126"/>
  <c r="H43" i="126"/>
  <c r="I43" i="126"/>
  <c r="J43" i="126"/>
  <c r="K43" i="126"/>
  <c r="L43" i="126"/>
  <c r="M43" i="126"/>
  <c r="L16" i="126" l="1"/>
  <c r="L21" i="126" s="1"/>
  <c r="I16" i="126"/>
  <c r="I25" i="126" s="1"/>
  <c r="F23" i="126"/>
  <c r="M23" i="126"/>
  <c r="L23" i="126"/>
  <c r="K23" i="126"/>
  <c r="J23" i="126"/>
  <c r="H23" i="126"/>
  <c r="I17" i="126"/>
  <c r="K16" i="126"/>
  <c r="K30" i="126" s="1"/>
  <c r="F16" i="126"/>
  <c r="L17" i="126"/>
  <c r="G16" i="126"/>
  <c r="G25" i="126" s="1"/>
  <c r="I26" i="126"/>
  <c r="H16" i="126"/>
  <c r="H30" i="126" s="1"/>
  <c r="M16" i="126"/>
  <c r="M28" i="126" s="1"/>
  <c r="J16" i="126"/>
  <c r="J21" i="126" s="1"/>
  <c r="I23" i="126"/>
  <c r="H5" i="125"/>
  <c r="H16" i="125" s="1"/>
  <c r="H11" i="125"/>
  <c r="H13" i="125" s="1"/>
  <c r="F30" i="126" l="1"/>
  <c r="F28" i="126"/>
  <c r="F39" i="126"/>
  <c r="K28" i="126"/>
  <c r="I39" i="126"/>
  <c r="K26" i="126"/>
  <c r="I30" i="126"/>
  <c r="I18" i="126"/>
  <c r="I24" i="126" s="1"/>
  <c r="K25" i="126"/>
  <c r="K18" i="126"/>
  <c r="K24" i="126" s="1"/>
  <c r="K35" i="126"/>
  <c r="K31" i="126"/>
  <c r="K32" i="126" s="1"/>
  <c r="K33" i="126" s="1"/>
  <c r="I21" i="126"/>
  <c r="L28" i="126"/>
  <c r="I35" i="126"/>
  <c r="H15" i="125"/>
  <c r="L30" i="126"/>
  <c r="L25" i="126"/>
  <c r="L39" i="126"/>
  <c r="L26" i="126"/>
  <c r="L35" i="126"/>
  <c r="L31" i="126"/>
  <c r="L32" i="126" s="1"/>
  <c r="L33" i="126" s="1"/>
  <c r="L18" i="126"/>
  <c r="L24" i="126" s="1"/>
  <c r="F21" i="126"/>
  <c r="F31" i="126"/>
  <c r="F32" i="126" s="1"/>
  <c r="F33" i="126" s="1"/>
  <c r="F35" i="126"/>
  <c r="I28" i="126"/>
  <c r="I31" i="126"/>
  <c r="I32" i="126" s="1"/>
  <c r="I33" i="126" s="1"/>
  <c r="I37" i="126" s="1"/>
  <c r="I41" i="126" s="1"/>
  <c r="I42" i="126" s="1"/>
  <c r="I44" i="126" s="1"/>
  <c r="I45" i="126" s="1"/>
  <c r="F25" i="126"/>
  <c r="F26" i="126"/>
  <c r="F18" i="126"/>
  <c r="F24" i="126" s="1"/>
  <c r="K21" i="126"/>
  <c r="K39" i="126"/>
  <c r="H21" i="126"/>
  <c r="H35" i="126"/>
  <c r="G18" i="126"/>
  <c r="G24" i="126" s="1"/>
  <c r="G39" i="126"/>
  <c r="G21" i="126"/>
  <c r="G26" i="126"/>
  <c r="G30" i="126"/>
  <c r="G35" i="126"/>
  <c r="G31" i="126"/>
  <c r="G32" i="126" s="1"/>
  <c r="G33" i="126" s="1"/>
  <c r="G28" i="126"/>
  <c r="J30" i="126"/>
  <c r="J26" i="126"/>
  <c r="H31" i="126"/>
  <c r="H32" i="126" s="1"/>
  <c r="H33" i="126" s="1"/>
  <c r="H25" i="126"/>
  <c r="H28" i="126"/>
  <c r="H18" i="126"/>
  <c r="H24" i="126" s="1"/>
  <c r="H39" i="126"/>
  <c r="H26" i="126"/>
  <c r="M25" i="126"/>
  <c r="M39" i="126"/>
  <c r="M26" i="126"/>
  <c r="M35" i="126"/>
  <c r="M31" i="126"/>
  <c r="M32" i="126" s="1"/>
  <c r="M33" i="126" s="1"/>
  <c r="M18" i="126"/>
  <c r="M24" i="126" s="1"/>
  <c r="M30" i="126"/>
  <c r="M21" i="126"/>
  <c r="J35" i="126"/>
  <c r="J31" i="126"/>
  <c r="J32" i="126" s="1"/>
  <c r="J33" i="126" s="1"/>
  <c r="J39" i="126"/>
  <c r="J25" i="126"/>
  <c r="J18" i="126"/>
  <c r="J24" i="126" s="1"/>
  <c r="J28" i="126"/>
  <c r="E9" i="40" l="1"/>
  <c r="F9" i="40" s="1"/>
  <c r="D32" i="141" s="1"/>
  <c r="E10" i="40"/>
  <c r="F10" i="40" s="1"/>
  <c r="L37" i="126"/>
  <c r="L41" i="126" s="1"/>
  <c r="L42" i="126" s="1"/>
  <c r="L44" i="126" s="1"/>
  <c r="L45" i="126" s="1"/>
  <c r="L46" i="126" s="1"/>
  <c r="K37" i="126"/>
  <c r="K41" i="126" s="1"/>
  <c r="K42" i="126" s="1"/>
  <c r="K44" i="126" s="1"/>
  <c r="K45" i="126" s="1"/>
  <c r="F37" i="126"/>
  <c r="F41" i="126" s="1"/>
  <c r="F42" i="126" s="1"/>
  <c r="F44" i="126" s="1"/>
  <c r="F45" i="126" s="1"/>
  <c r="F46" i="126" s="1"/>
  <c r="G37" i="126"/>
  <c r="G41" i="126" s="1"/>
  <c r="G42" i="126" s="1"/>
  <c r="G44" i="126" s="1"/>
  <c r="G45" i="126" s="1"/>
  <c r="H37" i="126"/>
  <c r="H41" i="126" s="1"/>
  <c r="H42" i="126" s="1"/>
  <c r="H44" i="126" s="1"/>
  <c r="H45" i="126" s="1"/>
  <c r="H46" i="126" s="1"/>
  <c r="J37" i="126"/>
  <c r="J41" i="126" s="1"/>
  <c r="J42" i="126" s="1"/>
  <c r="J44" i="126" s="1"/>
  <c r="J45" i="126" s="1"/>
  <c r="E11" i="40" s="1"/>
  <c r="F11" i="40" s="1"/>
  <c r="D31" i="150" s="1"/>
  <c r="F31" i="150" s="1"/>
  <c r="H31" i="150" s="1"/>
  <c r="M37" i="126"/>
  <c r="M41" i="126" s="1"/>
  <c r="M42" i="126" s="1"/>
  <c r="M44" i="126" s="1"/>
  <c r="M45" i="126" s="1"/>
  <c r="M46" i="126" s="1"/>
  <c r="I46" i="126"/>
  <c r="E7" i="40"/>
  <c r="F7" i="40" s="1"/>
  <c r="D32" i="131" s="1"/>
  <c r="E8" i="40"/>
  <c r="F8" i="40" s="1"/>
  <c r="D32" i="150" s="1"/>
  <c r="O16" i="39"/>
  <c r="Q16" i="39" s="1"/>
  <c r="O15" i="39"/>
  <c r="Q15" i="39" s="1"/>
  <c r="O13" i="39"/>
  <c r="Q13" i="39" s="1"/>
  <c r="O14" i="39"/>
  <c r="Q14" i="39" s="1"/>
  <c r="G52" i="99"/>
  <c r="H17" i="99"/>
  <c r="D32" i="133" l="1"/>
  <c r="F32" i="133" s="1"/>
  <c r="H32" i="133" s="1"/>
  <c r="F32" i="150"/>
  <c r="H32" i="150" s="1"/>
  <c r="K46" i="126"/>
  <c r="E6" i="40"/>
  <c r="F6" i="40" s="1"/>
  <c r="D33" i="131" s="1"/>
  <c r="G46" i="126"/>
  <c r="E12" i="40"/>
  <c r="D31" i="133"/>
  <c r="F31" i="133" s="1"/>
  <c r="H31" i="133" s="1"/>
  <c r="J46" i="126"/>
  <c r="D31" i="131"/>
  <c r="F31" i="131" s="1"/>
  <c r="H31" i="131" s="1"/>
  <c r="D31" i="141"/>
  <c r="F31" i="141" s="1"/>
  <c r="H31" i="141" s="1"/>
  <c r="G53" i="99"/>
  <c r="G50" i="99"/>
  <c r="F32" i="141"/>
  <c r="H32" i="141" s="1"/>
  <c r="F32" i="131"/>
  <c r="H32" i="131" s="1"/>
  <c r="D34" i="150" l="1"/>
  <c r="D33" i="141"/>
  <c r="D33" i="133"/>
  <c r="F33" i="133" s="1"/>
  <c r="H33" i="133" s="1"/>
  <c r="H34" i="133" s="1"/>
  <c r="F12" i="40"/>
  <c r="E13" i="40"/>
  <c r="F13" i="40" s="1"/>
  <c r="H46" i="133"/>
  <c r="H44" i="133"/>
  <c r="F34" i="150" l="1"/>
  <c r="H34" i="150" s="1"/>
  <c r="D33" i="150"/>
  <c r="F33" i="150" s="1"/>
  <c r="H33" i="150" s="1"/>
  <c r="F33" i="131"/>
  <c r="H33" i="131" s="1"/>
  <c r="H34" i="131" s="1"/>
  <c r="H44" i="131" s="1"/>
  <c r="F33" i="141"/>
  <c r="H33" i="141" s="1"/>
  <c r="H34" i="141" s="1"/>
  <c r="H46" i="131"/>
  <c r="H47" i="141"/>
  <c r="H47" i="133"/>
  <c r="H48" i="133" s="1"/>
  <c r="H37" i="99"/>
  <c r="H38" i="99"/>
  <c r="H18" i="99"/>
  <c r="H47" i="131" l="1"/>
  <c r="H48" i="131" s="1"/>
  <c r="D29" i="160"/>
  <c r="F29" i="160" s="1"/>
  <c r="H29" i="160" s="1"/>
  <c r="D29" i="158"/>
  <c r="F29" i="158" s="1"/>
  <c r="H29" i="158" s="1"/>
  <c r="D29" i="159"/>
  <c r="F29" i="159" s="1"/>
  <c r="H29" i="159" s="1"/>
  <c r="D29" i="153"/>
  <c r="F29" i="153" s="1"/>
  <c r="H29" i="153" s="1"/>
  <c r="H35" i="150"/>
  <c r="H49" i="150" s="1"/>
  <c r="H48" i="141"/>
  <c r="P55" i="131"/>
  <c r="H36" i="99"/>
  <c r="H40" i="99" s="1"/>
  <c r="H27" i="99"/>
  <c r="D4" i="99"/>
  <c r="D30" i="158" l="1"/>
  <c r="F30" i="158" s="1"/>
  <c r="H30" i="158" s="1"/>
  <c r="D32" i="156"/>
  <c r="F32" i="156" s="1"/>
  <c r="H32" i="156" s="1"/>
  <c r="D30" i="160"/>
  <c r="F30" i="160" s="1"/>
  <c r="H30" i="160" s="1"/>
  <c r="D32" i="157"/>
  <c r="F32" i="157" s="1"/>
  <c r="H32" i="157" s="1"/>
  <c r="D30" i="159"/>
  <c r="F30" i="159" s="1"/>
  <c r="H30" i="159" s="1"/>
  <c r="D30" i="153"/>
  <c r="F30" i="153" s="1"/>
  <c r="H30" i="153" s="1"/>
  <c r="D31" i="157"/>
  <c r="F31" i="157" s="1"/>
  <c r="H31" i="157" s="1"/>
  <c r="D31" i="99"/>
  <c r="F31" i="99" s="1"/>
  <c r="H31" i="99" s="1"/>
  <c r="D31" i="156"/>
  <c r="F31" i="156" s="1"/>
  <c r="H31" i="156" s="1"/>
  <c r="D31" i="160"/>
  <c r="F31" i="160" s="1"/>
  <c r="H31" i="160" s="1"/>
  <c r="D31" i="158"/>
  <c r="F31" i="158" s="1"/>
  <c r="H31" i="158" s="1"/>
  <c r="D31" i="159"/>
  <c r="F31" i="159" s="1"/>
  <c r="H31" i="159" s="1"/>
  <c r="D30" i="157"/>
  <c r="F30" i="157" s="1"/>
  <c r="H30" i="157" s="1"/>
  <c r="D30" i="156"/>
  <c r="F30" i="156" s="1"/>
  <c r="H30" i="156" s="1"/>
  <c r="D32" i="99"/>
  <c r="F32" i="99" s="1"/>
  <c r="H32" i="99" s="1"/>
  <c r="D31" i="153"/>
  <c r="F31" i="153" s="1"/>
  <c r="H31" i="153" s="1"/>
  <c r="P57" i="131"/>
  <c r="P56" i="131"/>
  <c r="P54" i="131"/>
  <c r="D30" i="99"/>
  <c r="H32" i="160" l="1"/>
  <c r="H32" i="158"/>
  <c r="H32" i="159"/>
  <c r="H33" i="157"/>
  <c r="H33" i="156"/>
  <c r="H32" i="153"/>
  <c r="G45" i="156"/>
  <c r="H45" i="156" s="1"/>
  <c r="G43" i="156"/>
  <c r="H43" i="156" s="1"/>
  <c r="G43" i="157"/>
  <c r="H43" i="157" s="1"/>
  <c r="G45" i="157"/>
  <c r="H45" i="157" s="1"/>
  <c r="G42" i="159"/>
  <c r="H42" i="159" s="1"/>
  <c r="G40" i="159"/>
  <c r="H40" i="159" s="1"/>
  <c r="G40" i="160" l="1"/>
  <c r="H40" i="160" s="1"/>
  <c r="H43" i="160" s="1"/>
  <c r="H44" i="160" s="1"/>
  <c r="G42" i="160"/>
  <c r="H42" i="160" s="1"/>
  <c r="G40" i="158"/>
  <c r="H40" i="158" s="1"/>
  <c r="G42" i="158"/>
  <c r="H42" i="158" s="1"/>
  <c r="G40" i="153"/>
  <c r="H40" i="153" s="1"/>
  <c r="G42" i="153"/>
  <c r="H42" i="153" s="1"/>
  <c r="H43" i="159"/>
  <c r="H44" i="159" s="1"/>
  <c r="H46" i="157"/>
  <c r="H47" i="157" s="1"/>
  <c r="H46" i="156"/>
  <c r="H47" i="156" s="1"/>
  <c r="H43" i="153"/>
  <c r="H44" i="153" s="1"/>
  <c r="H47" i="153" s="1"/>
  <c r="O12" i="39"/>
  <c r="Q12" i="39" s="1"/>
  <c r="Q39" i="39" s="1"/>
  <c r="H43" i="158" l="1"/>
  <c r="H44" i="158" s="1"/>
  <c r="H47" i="158" s="1"/>
  <c r="H48" i="158" s="1"/>
  <c r="H49" i="158" s="1"/>
  <c r="H50" i="158" s="1"/>
  <c r="H52" i="158" s="1"/>
  <c r="H47" i="159"/>
  <c r="H48" i="159" s="1"/>
  <c r="H49" i="159" s="1"/>
  <c r="H50" i="159" s="1"/>
  <c r="H52" i="159" s="1"/>
  <c r="H50" i="157"/>
  <c r="H51" i="157" s="1"/>
  <c r="H52" i="157" s="1"/>
  <c r="H50" i="156"/>
  <c r="H51" i="156" s="1"/>
  <c r="H52" i="156" s="1"/>
  <c r="H53" i="156" s="1"/>
  <c r="H47" i="160"/>
  <c r="H48" i="160" s="1"/>
  <c r="H48" i="153"/>
  <c r="H49" i="153" s="1"/>
  <c r="J18" i="39"/>
  <c r="J27" i="39"/>
  <c r="J36" i="39"/>
  <c r="I18" i="39" l="1"/>
  <c r="L18" i="39" s="1"/>
  <c r="I36" i="39"/>
  <c r="L36" i="39" s="1"/>
  <c r="I27" i="39"/>
  <c r="L27" i="39" s="1"/>
  <c r="H49" i="160"/>
  <c r="H50" i="160" s="1"/>
  <c r="H55" i="156"/>
  <c r="H53" i="157"/>
  <c r="H55" i="157" s="1"/>
  <c r="I28" i="39"/>
  <c r="L28" i="39" s="1"/>
  <c r="I37" i="39"/>
  <c r="L37" i="39" s="1"/>
  <c r="I19" i="39"/>
  <c r="L19" i="39" s="1"/>
  <c r="H50" i="153"/>
  <c r="H52" i="153" s="1"/>
  <c r="F30" i="99"/>
  <c r="H30" i="99" s="1"/>
  <c r="J28" i="39"/>
  <c r="J37" i="39"/>
  <c r="J19" i="39"/>
  <c r="H52" i="160" l="1"/>
  <c r="I17" i="39"/>
  <c r="L17" i="39" s="1"/>
  <c r="I35" i="39"/>
  <c r="L35" i="39" s="1"/>
  <c r="I26" i="39"/>
  <c r="L26" i="39" s="1"/>
  <c r="I15" i="39"/>
  <c r="L15" i="39" s="1"/>
  <c r="I33" i="39"/>
  <c r="L33" i="39" s="1"/>
  <c r="I24" i="39"/>
  <c r="L24" i="39" s="1"/>
  <c r="I32" i="39"/>
  <c r="L32" i="39" s="1"/>
  <c r="I23" i="39"/>
  <c r="L23" i="39" s="1"/>
  <c r="I14" i="39"/>
  <c r="L14" i="39" s="1"/>
  <c r="H33" i="99"/>
  <c r="G43" i="99" s="1"/>
  <c r="H43" i="99" s="1"/>
  <c r="J35" i="39"/>
  <c r="J17" i="39"/>
  <c r="J26" i="39"/>
  <c r="J15" i="39"/>
  <c r="J33" i="39"/>
  <c r="J24" i="39"/>
  <c r="J23" i="39"/>
  <c r="J14" i="39"/>
  <c r="J32" i="39"/>
  <c r="I38" i="39" l="1"/>
  <c r="L38" i="39" s="1"/>
  <c r="I29" i="39"/>
  <c r="L29" i="39" s="1"/>
  <c r="I20" i="39"/>
  <c r="L20" i="39" s="1"/>
  <c r="G45" i="99"/>
  <c r="H45" i="99" s="1"/>
  <c r="H46" i="99" s="1"/>
  <c r="H47" i="99" s="1"/>
  <c r="H50" i="99" s="1"/>
  <c r="J20" i="39"/>
  <c r="J29" i="39"/>
  <c r="J38" i="39"/>
  <c r="H51" i="99" l="1"/>
  <c r="H52" i="99" s="1"/>
  <c r="H53" i="99" l="1"/>
  <c r="H55" i="99" s="1"/>
  <c r="I31" i="39" l="1"/>
  <c r="L31" i="39" s="1"/>
  <c r="I13" i="39"/>
  <c r="L13" i="39" s="1"/>
  <c r="I22" i="39"/>
  <c r="L22" i="39" s="1"/>
  <c r="J31" i="39"/>
  <c r="J13" i="39"/>
  <c r="J22" i="39"/>
  <c r="L39" i="39" l="1"/>
  <c r="L41" i="39" s="1"/>
  <c r="L42" i="39" s="1"/>
</calcChain>
</file>

<file path=xl/sharedStrings.xml><?xml version="1.0" encoding="utf-8"?>
<sst xmlns="http://schemas.openxmlformats.org/spreadsheetml/2006/main" count="919" uniqueCount="265">
  <si>
    <t>UNIDAD</t>
  </si>
  <si>
    <t>CANTIDAD</t>
  </si>
  <si>
    <t>IMPORTE</t>
  </si>
  <si>
    <t>MANO DE OBRA</t>
  </si>
  <si>
    <t>PORCENTAJE</t>
  </si>
  <si>
    <t>PRECIO UNITARIO</t>
  </si>
  <si>
    <t>CONCEPTO:</t>
  </si>
  <si>
    <t>DESCRIPCIÓN</t>
  </si>
  <si>
    <t>Pm</t>
  </si>
  <si>
    <t>Cm</t>
  </si>
  <si>
    <t>M=Pm x Cm</t>
  </si>
  <si>
    <t>SUMA 1</t>
  </si>
  <si>
    <t>CATEGORÍA</t>
  </si>
  <si>
    <t>SALARIO (a)</t>
  </si>
  <si>
    <t>CANT (b)</t>
  </si>
  <si>
    <t>Sr=(a) x (b)</t>
  </si>
  <si>
    <t>R</t>
  </si>
  <si>
    <t>Mo = Sr / R</t>
  </si>
  <si>
    <t>SUMA 2</t>
  </si>
  <si>
    <t>MAQUINARIA Y EQUIPO DE CONSTRUCCIÓN</t>
  </si>
  <si>
    <t>Phm</t>
  </si>
  <si>
    <t>Rhm</t>
  </si>
  <si>
    <t>ME = Phm / Rhm</t>
  </si>
  <si>
    <t>SUMA 3</t>
  </si>
  <si>
    <t>HERRAMIENTA Y EQUIPO DE SEGURIDAD</t>
  </si>
  <si>
    <t>Herramienta de mano</t>
  </si>
  <si>
    <t>Kh</t>
  </si>
  <si>
    <t>Mo</t>
  </si>
  <si>
    <t>Hm = Kh X Mo</t>
  </si>
  <si>
    <t>Equipo de seguridad</t>
  </si>
  <si>
    <t>Ks</t>
  </si>
  <si>
    <t>Es = Ks X Mo</t>
  </si>
  <si>
    <t>SUMA 4</t>
  </si>
  <si>
    <t>(CD) COSTO DIRECTO                                                                        (Suma 1 + 2 + 3 + 4)</t>
  </si>
  <si>
    <t>COSTOS Y CARGOS UNITARIOS</t>
  </si>
  <si>
    <t xml:space="preserve">   (CI)   COSTO INDIRECTO                                         =  I (CD)</t>
  </si>
  <si>
    <t xml:space="preserve">   (CF)   COSTO POR FINANCIAMIENTO                    =  F (CD + CI)</t>
  </si>
  <si>
    <t xml:space="preserve">   (CU)   CARGO POR UTILIDAD                                 =  U (CD + CI + CF)</t>
  </si>
  <si>
    <t xml:space="preserve">   (CA)   CARGOS ADICIONALES                               =  A (CD + CI + CF + CU)</t>
  </si>
  <si>
    <t xml:space="preserve">   (PU)   PRECIO UNITARIO                                      (CD + CI + CF+ CU + CA)                        SUMA</t>
  </si>
  <si>
    <t>MATERIALES</t>
  </si>
  <si>
    <t>IMPORTE TOTAL DE LA PROPUESTA</t>
  </si>
  <si>
    <t>IMPORTE ACUMULADO HASTA ESTA HOJA</t>
  </si>
  <si>
    <t>IMPORTE ACUMULADO HASTA LA HOJA ANTERIOR</t>
  </si>
  <si>
    <t>IMPORTE DE ESTA HOJA</t>
  </si>
  <si>
    <t>PZA</t>
  </si>
  <si>
    <t>M2</t>
  </si>
  <si>
    <t>PESOS</t>
  </si>
  <si>
    <t xml:space="preserve"> CON LETRA</t>
  </si>
  <si>
    <t>CON NÚMERO</t>
  </si>
  <si>
    <t>SUBPARTIDAD  O CONCEPTO</t>
  </si>
  <si>
    <t>DESCRIPCIÓN DE LA PARTIDA,</t>
  </si>
  <si>
    <t>ESPECIFICACIÓN</t>
  </si>
  <si>
    <t>No.</t>
  </si>
  <si>
    <t>CATÁLOGO DE CONCEPTOS DE TRABAJO CONTENIENDO EL IMPORTE TOTAL DE LA PROPUESTA</t>
  </si>
  <si>
    <t xml:space="preserve"> DE</t>
  </si>
  <si>
    <t xml:space="preserve"> HOJA</t>
  </si>
  <si>
    <t>FIRMA DEL LICITANTE</t>
  </si>
  <si>
    <t>NOMBRE O RAZÓN SOCIAL DEL LICITANTE</t>
  </si>
  <si>
    <t>SUBDIRECCIÓN DE GENERACION</t>
  </si>
  <si>
    <t>NOMBRE DE LA OBRA:</t>
  </si>
  <si>
    <t>ANEXO</t>
  </si>
  <si>
    <t>LICITACIÓN</t>
  </si>
  <si>
    <t>jor</t>
  </si>
  <si>
    <t>PARA:</t>
  </si>
  <si>
    <t>NOMBRE O RAZÓN SOCIAL DEL LICITANTE:</t>
  </si>
  <si>
    <t>FIRMA DEL LICITANTE:</t>
  </si>
  <si>
    <t>SUBDIRECCIÓN  DE:</t>
  </si>
  <si>
    <t>ANÁLISIS DE LOS PRECIOS UNITARIOS DE LOS CONCEPTOS DE TRABAJO DEL CATÁLOGO</t>
  </si>
  <si>
    <t>HOJA: 1</t>
  </si>
  <si>
    <t>HOJA: 2</t>
  </si>
  <si>
    <t>KG</t>
  </si>
  <si>
    <t>Compañía</t>
  </si>
  <si>
    <t>Concurso</t>
  </si>
  <si>
    <t>PROMEDIO</t>
  </si>
  <si>
    <t>Descripción del concurso</t>
  </si>
  <si>
    <t>Fecha</t>
  </si>
  <si>
    <t>Costos indirectos</t>
  </si>
  <si>
    <t>Financiamiento</t>
  </si>
  <si>
    <t>Utilidad</t>
  </si>
  <si>
    <t>Cargos adicionales</t>
  </si>
  <si>
    <t>Herramienta menor</t>
  </si>
  <si>
    <t>PRECIO</t>
  </si>
  <si>
    <t>C.H.</t>
  </si>
  <si>
    <t>HORA</t>
  </si>
  <si>
    <t>Descripción</t>
  </si>
  <si>
    <t>Salario Tabulado SUTERM</t>
  </si>
  <si>
    <t>F.S.R.</t>
  </si>
  <si>
    <t>HOJA: 4</t>
  </si>
  <si>
    <t>Total, del Salario Real</t>
  </si>
  <si>
    <t>FACTOR DE SALARIO BASE DE COTIZACIÓN ( Tp-Te) / DICAL para cálculo de IMSS</t>
  </si>
  <si>
    <t>FSBC</t>
  </si>
  <si>
    <t>DÍAS PAGADOS / DÍAS LABORADOS</t>
  </si>
  <si>
    <t>Tp / Tl</t>
  </si>
  <si>
    <t>TOTAL DE DÍAS REALMENTE LABORADOS AL AÑO (DICAL)-(DINLA)</t>
  </si>
  <si>
    <t>Tl</t>
  </si>
  <si>
    <t xml:space="preserve"> </t>
  </si>
  <si>
    <t>SUMA:</t>
  </si>
  <si>
    <t>DÍAS NO LABORADOS AL AÑO</t>
  </si>
  <si>
    <t>DINLA</t>
  </si>
  <si>
    <t>DÍAS PERDIDOS POR OTRAS CAUSAS</t>
  </si>
  <si>
    <t>DICAU</t>
  </si>
  <si>
    <t>DÍAS POR CONDICIONES SINDICALES ANUALES</t>
  </si>
  <si>
    <t>DISIN</t>
  </si>
  <si>
    <t>DÍAS FESTIVOS OFICIALES POR AÑO</t>
  </si>
  <si>
    <t>DIFEO</t>
  </si>
  <si>
    <t>DÍAS DE VACACIONES POR AÑO</t>
  </si>
  <si>
    <t>DIVAC</t>
  </si>
  <si>
    <t>DÍAS DOMINGO EN EL AÑO</t>
  </si>
  <si>
    <t>DIDOM</t>
  </si>
  <si>
    <t>TOTAL DE DÍAS REALMENTE PAGADOS AL AÑO</t>
  </si>
  <si>
    <t>Tp</t>
  </si>
  <si>
    <t>Prima dominical</t>
  </si>
  <si>
    <t>DÍAS POR PRIMA VACACIONAL</t>
  </si>
  <si>
    <t>PIVAC</t>
  </si>
  <si>
    <t>DÍAS DE AGUINALDO</t>
  </si>
  <si>
    <t>DIAGI</t>
  </si>
  <si>
    <t>DÍAS CALENDARIO</t>
  </si>
  <si>
    <t>DICAL</t>
  </si>
  <si>
    <t>Salario Real (SR)</t>
  </si>
  <si>
    <t>Fsr= Ps (Tp / Tl ) + (Tp/Tl)</t>
  </si>
  <si>
    <t>Ps x (Tp/Tl)</t>
  </si>
  <si>
    <t>Obligación Obrero-Patronal (PS) (prestaciones/salario base UMAS)</t>
  </si>
  <si>
    <t>Suma de prestaciones</t>
  </si>
  <si>
    <t>Prestaciones Infonavit</t>
  </si>
  <si>
    <t>Prestaciones IMSS</t>
  </si>
  <si>
    <t>Guarderia y prestaciones</t>
  </si>
  <si>
    <t>Variable</t>
  </si>
  <si>
    <t>% por rango</t>
  </si>
  <si>
    <t>Rango</t>
  </si>
  <si>
    <t>Cesantia en edad avanzada y vejez</t>
  </si>
  <si>
    <t>retiro</t>
  </si>
  <si>
    <t>Invalidez y vida</t>
  </si>
  <si>
    <t>En especie y dinero</t>
  </si>
  <si>
    <t>En dinero</t>
  </si>
  <si>
    <t>Gastos medicos</t>
  </si>
  <si>
    <t>Cuota adicional</t>
  </si>
  <si>
    <t>Cuota fija</t>
  </si>
  <si>
    <t>Seguro de enfermedad y maternidad</t>
  </si>
  <si>
    <t>Riesgo de trabajo</t>
  </si>
  <si>
    <t>Total</t>
  </si>
  <si>
    <t>Trabajador</t>
  </si>
  <si>
    <t>Patrón</t>
  </si>
  <si>
    <t>este valor es la resta por 3 VECES UMA MENOS SALARIO BASE EN UMAS</t>
  </si>
  <si>
    <t>Diferencia 3 UMAS</t>
  </si>
  <si>
    <t>Salario base de cotización (IMSS)</t>
  </si>
  <si>
    <t>Salario base de cotización (IMSS) en UMAS</t>
  </si>
  <si>
    <t>Factor de salario base de cotización</t>
  </si>
  <si>
    <t>Salario en UMA's</t>
  </si>
  <si>
    <t>Factor de mercado en la Zona</t>
  </si>
  <si>
    <t>Salario mínimo en UMAS</t>
  </si>
  <si>
    <t>si el salario minimo es mayor que el salario del suterm se utiliza el salario minimo</t>
  </si>
  <si>
    <t>Salario mínimo aplicable</t>
  </si>
  <si>
    <t>Salario de mercado en la zona</t>
  </si>
  <si>
    <t>Salario del trabajador del SUTERM</t>
  </si>
  <si>
    <t>Grupo 8</t>
  </si>
  <si>
    <t>Grupo 7</t>
  </si>
  <si>
    <t>Grupo 6</t>
  </si>
  <si>
    <t>Grupo 5</t>
  </si>
  <si>
    <t>Grupo 4</t>
  </si>
  <si>
    <t>Grupo 3</t>
  </si>
  <si>
    <t>Grupo 2</t>
  </si>
  <si>
    <t>Grupo 1</t>
  </si>
  <si>
    <t>UMAx3:</t>
  </si>
  <si>
    <t>grupos salariales del contrato colectivo suterm</t>
  </si>
  <si>
    <t>UMA:</t>
  </si>
  <si>
    <t>tabla de la hora 39 del manual, todo factor arriba de 1.95 o por debajo de 1.75. hay que checarlo</t>
  </si>
  <si>
    <t>Salario mínimo frontera norte:</t>
  </si>
  <si>
    <t>Salario mínimo:</t>
  </si>
  <si>
    <t>se ocupa el año en el cual se esta ejecutando</t>
  </si>
  <si>
    <t>Año</t>
  </si>
  <si>
    <t>HOJA: 3</t>
  </si>
  <si>
    <t>JORNAL</t>
  </si>
  <si>
    <t>CABO DE OFICIO</t>
  </si>
  <si>
    <t>HOJA:        1</t>
  </si>
  <si>
    <t>ER</t>
  </si>
  <si>
    <t>FORMULACIÓN DE CUADRILLAS</t>
  </si>
  <si>
    <t xml:space="preserve">NUMERO </t>
  </si>
  <si>
    <t>SALARIO</t>
  </si>
  <si>
    <t>SE TOMA EL SALARIO MINIMO YA QUE ES MAYOR QUE EL DEL SUTERM</t>
  </si>
  <si>
    <t>AYUDANTE OFICIAL</t>
  </si>
  <si>
    <t xml:space="preserve">OFICIAL PINTOR </t>
  </si>
  <si>
    <t>CHOFER</t>
  </si>
  <si>
    <t>AYUDANTE GENERAL</t>
  </si>
  <si>
    <t>PORCENTAJE DE INFLACIÓN</t>
  </si>
  <si>
    <t>PRECIO FINAL</t>
  </si>
  <si>
    <t xml:space="preserve">MATERIAL </t>
  </si>
  <si>
    <t>L</t>
  </si>
  <si>
    <t>CUAD 1</t>
  </si>
  <si>
    <t>CUAD 2</t>
  </si>
  <si>
    <t>CUAD 3</t>
  </si>
  <si>
    <t>DE       4</t>
  </si>
  <si>
    <t>CUAD 4</t>
  </si>
  <si>
    <t>INDUSTREAM S.A. DE C.V.</t>
  </si>
  <si>
    <t>URCOTAM S.A. DE C.V.</t>
  </si>
  <si>
    <t>Concurso
CFE-0600-CSCON-0008-2019</t>
  </si>
  <si>
    <t>Recubrimiento a estructuras y equipos de las Unidades 1, 2 y 4 de la C.T. Presidente Emilio Portes Gil.</t>
  </si>
  <si>
    <t>SERAMAQ S.A. DE C.V.</t>
  </si>
  <si>
    <t>MATERIALES COTIZACIÓN DEQUIMSA</t>
  </si>
  <si>
    <t>P31 RECUBRIMIENTO PARA ALTAS TEMPERATURAS COLOR ALUMINIO</t>
  </si>
  <si>
    <t>ADELGAZADOR PARA CFE-P31</t>
  </si>
  <si>
    <t>HOJA:        3</t>
  </si>
  <si>
    <t>DE              7</t>
  </si>
  <si>
    <t>HOJA:         4</t>
  </si>
  <si>
    <t>HOJA:         6</t>
  </si>
  <si>
    <t>OBRA, MANTENIMIENTO A UNIDADES 1, 2 Y 4 DE LA C.T. EMILIO PORTES GIL INSTALACIÓN DE AISLAMIENTOS TÉRMICOS PARA EL PARO PROGRAMADO DEL AÑO 2026</t>
  </si>
  <si>
    <t>OFICIAL LAMINERO</t>
  </si>
  <si>
    <t>OFICIAL AISLADOR</t>
  </si>
  <si>
    <t>OFICIAL ALBAÑIL</t>
  </si>
  <si>
    <t>CUADRILLA no.1 PINTURA (0.2 DE CABO DE OF. + 1 OF.  PINTORES + 1 AYUD. OFICIAL )</t>
  </si>
  <si>
    <r>
      <t xml:space="preserve">CUADRILLA no.3 AISLAMIENTOS  (0.3 DE CABO DE OF  1 OF.  </t>
    </r>
    <r>
      <rPr>
        <sz val="7"/>
        <rFont val="Arial"/>
        <family val="2"/>
      </rPr>
      <t>AISLADOR</t>
    </r>
    <r>
      <rPr>
        <b/>
        <sz val="7"/>
        <rFont val="Arial"/>
        <family val="2"/>
      </rPr>
      <t xml:space="preserve">  + 2 AYUD OFICIAL.)</t>
    </r>
  </si>
  <si>
    <t>CUADRILLA no.4 LAMINEROS  (0.6 DE CABO DE OF  2 OF.  LAMINEROS  + 2 AYUD OFICIAL+ 2 AYUDANTES GENERALES.)</t>
  </si>
  <si>
    <t>MATERIALES CONCURSO CFE-0700-CSCON-0040-2025</t>
  </si>
  <si>
    <t>ANDAMIOS CON CANASTILLA Y GUINDOLA</t>
  </si>
  <si>
    <t>CAMION DOBLE RODADA CHEVROLET SILVERADO CON PLATAFORMA DE REDILAS CARGA HASTA 2 1/2 TON.</t>
  </si>
  <si>
    <t>BUFFER/PULIDOR DE DISCO DE 4 1/2</t>
  </si>
  <si>
    <t>BISELADOR A DE LAMINA</t>
  </si>
  <si>
    <t>Concurso 
CFE-0700-CSCON-0040-2025</t>
  </si>
  <si>
    <t>Mantenimiento anual de la Unidad 3 aislamientos térmicos de la Central Termoeléctrica Emilio Portes Gil.</t>
  </si>
  <si>
    <t>(GT58) Obra de Aislamientos Térmico en caldera de la CT Emilio Portes Gil</t>
  </si>
  <si>
    <t>Concurso
CFE-0700-CSCON-0031-2022</t>
  </si>
  <si>
    <t>ALMBRE GALVANIZADO CAL. 18</t>
  </si>
  <si>
    <t>PRIMARIO ANTICORROSIVO CFE-P34</t>
  </si>
  <si>
    <t>SOLVENTE CATALIZADOR CFE-P34</t>
  </si>
  <si>
    <t>PIJAS DE ACERO INOX. DE 3/16 X 3/4 DE LARGO</t>
  </si>
  <si>
    <t>LAMINA LISA CAL. 24</t>
  </si>
  <si>
    <t>MEDIAS CAÑAS DE FIBRA DE VIDRIO DE 2" ESPESOR CON BARRA DE VAPOR PARA TUBERÍAS DE 3/4" A 3 " DE DIAMETRO</t>
  </si>
  <si>
    <t>BROCHA DE 2"</t>
  </si>
  <si>
    <t>MEDIAS CAÑAS DE FIBRA DE VIDRIO DE 2" ESPESOR CON BARRA DE VAPOR PARA TUBERÍAS DE 4" A 6 " DE DIAMETRO</t>
  </si>
  <si>
    <t>COLCHA ARMADA DE LANA MINERAL DE 2´X8´X4" DE ESPESOR CON UNA DENSIDAD DE 12 LBR/PIES</t>
  </si>
  <si>
    <t>CEMENTO MONOLITICO</t>
  </si>
  <si>
    <t>IMPERMEABILIZANTE HI MASTIC</t>
  </si>
  <si>
    <t>SUMINISTRO, RETIRO Y COLOCACIÓN DE AISLAMIENTO TÉRMICO Y LAMINA DE ALUMINIO LISA CAL. 24 EN TUBERÍAS DE LA UNIDAD 1</t>
  </si>
  <si>
    <t>III-01</t>
  </si>
  <si>
    <t>III-02</t>
  </si>
  <si>
    <t>III-01 Y III-02</t>
  </si>
  <si>
    <t>SUMINISTRO, RETIRO Y COLOCACIÓN DE AISLAMIENTO TÉRMICO Y LAMINA DE ALUMINIO LISA CAL. 24 EN TUBERÍAS DESDE 3/4" HASTA 3"DE DIÁMETRO</t>
  </si>
  <si>
    <t>SUMINISTRO, RETIRO Y COLOCACIÓN DE AISLAMIENTO TÉRMICO Y LAMINA DE ALUMINIO LISA CAL. 24 EN TUBERÍAS DESDE 4" HASTA 6"DE DIÁMETRO</t>
  </si>
  <si>
    <t>SUMINISTRO, RETIRO Y COLOCACIÓN DE AISLAMIENTO TÉRMICO Y LAMINA DE ALUMINIO LISA CAL. 24 EN TUBERÍAS DESDE 8" HASTA 14"DE DIÁMETRO</t>
  </si>
  <si>
    <t>SUMINISTRO, RETIRO Y COLOCACIÓN DE AISLAMIENTO TÉRMICO A VÁLVULAS UNIDAD 1</t>
  </si>
  <si>
    <t>III-03</t>
  </si>
  <si>
    <t>VÁLVULAS DE 4"</t>
  </si>
  <si>
    <t>VÁLVULAS DE 6"</t>
  </si>
  <si>
    <t>VÁLVULAS DE 8"</t>
  </si>
  <si>
    <t>VÁLVULAS DE 10 A 14"</t>
  </si>
  <si>
    <t>ML</t>
  </si>
  <si>
    <t>SUMINISTRO, RETIRO Y COLOCACIÓN DE AISLAMIENTO TÉRMICO Y LAMINA DE ALUMINIO LISA CAL. 24 EN TUBERÍAS DE LA UNIDAD 4</t>
  </si>
  <si>
    <t>SUMINISTRO, RETIRO Y COLOCACIÓN DE AISLAMIENTO TÉRMICO Y LAMINA DE ALUMINIO LISA CAL. 24 EN TUBERÍAS DE LA UNIDAD 2</t>
  </si>
  <si>
    <t>SUMINISTRO, RETIRO Y COLOCACIÓN DE AISLAMIENTO TÉRMICO A VÁLVULAS UNIDAD 2</t>
  </si>
  <si>
    <t>SUMINISTRO, RETIRO Y COLOCACIÓN DE AISLAMIENTO TÉRMICO A VÁLVULAS UNIDAD 4</t>
  </si>
  <si>
    <t>SUMINISTRO, RETIRO Y COLOCACIÓN DE AISLAMIENTO TÉRMICO A VÁLVULAS DE 4"</t>
  </si>
  <si>
    <t>SUMINISTRO, RETIRO Y COLOCACIÓN DE AISLAMIENTO TÉRMICO A VÁLVULAS DE 6"</t>
  </si>
  <si>
    <t>SUMINISTRO, RETIRO Y COLOCACIÓN DE AISLAMIENTO TÉRMICO A VÁLVULAS DE 8"</t>
  </si>
  <si>
    <t>SUMINISTRO, RETIRO Y COLOCACIÓN DE AISLAMIENTO TÉRMICO A VÁLVULAS DE 10 A 14"</t>
  </si>
  <si>
    <t>1.1, 3.1 Y 5.1</t>
  </si>
  <si>
    <t>1.2, 3.2 Y 5.2</t>
  </si>
  <si>
    <t>1.3, 3.3 Y 5.3</t>
  </si>
  <si>
    <t>2.1, 4.1 Y 6.1</t>
  </si>
  <si>
    <t>2.2, 4.2 Y 6.2</t>
  </si>
  <si>
    <t>2.3, 4.3 Y 6.3</t>
  </si>
  <si>
    <t>2.4, 4.4 Y 6.4</t>
  </si>
  <si>
    <t>HOJA:        2</t>
  </si>
  <si>
    <t>HOJA:         5</t>
  </si>
  <si>
    <t>HOJA:         7</t>
  </si>
  <si>
    <t>CUADRILLA no.2 ALBAÑILERIA (0.2 DE CABO DE OF. +  1 OF. ALBAÑIL + 1  AY. OFICIALES)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</si>
</sst>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;\-&quot;$&quot;#,##0.00"/>
    <numFmt numFmtId="8" formatCode="&quot;$&quot;#,##0.00;[Red]\-&quot;$&quot;#,##0.00"/>
    <numFmt numFmtId="44" formatCode="_-&quot;$&quot;* #,##0.00_-;\-&quot;$&quot;* #,##0.00_-;_-&quot;$&quot;* &quot;-&quot;??_-;_-@_-"/>
    <numFmt numFmtId="164" formatCode="#,##0.0000"/>
    <numFmt numFmtId="165" formatCode="&quot;$&quot;#,##0.00"/>
    <numFmt numFmtId="166" formatCode="_-&quot;$&quot;* #,##0.0000_-;\-&quot;$&quot;* #,##0.0000_-;_-&quot;$&quot;* &quot;-&quot;????_-;_-@_-"/>
    <numFmt numFmtId="167" formatCode="0.0000"/>
    <numFmt numFmtId="168" formatCode="0.000000"/>
    <numFmt numFmtId="169" formatCode="0.00000%"/>
    <numFmt numFmtId="170" formatCode="#,##0.000000"/>
    <numFmt numFmtId="171" formatCode="0.0"/>
    <numFmt numFmtId="172" formatCode="0.0000%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5"/>
      <color rgb="FF000000"/>
      <name val="Arial"/>
      <family val="2"/>
    </font>
    <font>
      <b/>
      <sz val="8"/>
      <color rgb="FF000000"/>
      <name val="Helvetica"/>
      <family val="2"/>
    </font>
    <font>
      <sz val="10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4"/>
      <name val="Arial"/>
      <family val="2"/>
    </font>
    <font>
      <sz val="4"/>
      <name val="Arial"/>
      <family val="2"/>
    </font>
    <font>
      <b/>
      <sz val="6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8"/>
      <name val="Times New Roman"/>
      <family val="1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indexed="12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  <font>
      <b/>
      <sz val="8"/>
      <color rgb="FF242424"/>
      <name val="Segoe UI"/>
      <family val="2"/>
    </font>
    <font>
      <sz val="8"/>
      <color rgb="FF242424"/>
      <name val="Segoe UI"/>
      <family val="2"/>
    </font>
    <font>
      <sz val="8"/>
      <color rgb="FF000000"/>
      <name val="Calibri"/>
      <family val="2"/>
      <scheme val="minor"/>
    </font>
    <font>
      <sz val="6"/>
      <name val="Arial"/>
      <family val="2"/>
    </font>
    <font>
      <sz val="6"/>
      <color indexed="8"/>
      <name val="Arial"/>
      <family val="2"/>
    </font>
    <font>
      <sz val="5"/>
      <color indexed="8"/>
      <name val="Arial"/>
      <family val="2"/>
    </font>
    <font>
      <sz val="5.5"/>
      <color indexed="8"/>
      <name val="Arial"/>
      <family val="2"/>
    </font>
    <font>
      <sz val="7.5"/>
      <color theme="1"/>
      <name val="Arial"/>
      <family val="2"/>
    </font>
    <font>
      <sz val="9"/>
      <name val="Arial"/>
      <family val="2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lightDown">
        <bgColor theme="3" tint="0.749992370372631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theme="8" tint="0.79998168889431442"/>
      </patternFill>
    </fill>
    <fill>
      <patternFill patternType="solid">
        <fgColor theme="6" tint="0.79998168889431442"/>
        <bgColor indexed="64"/>
      </patternFill>
    </fill>
    <fill>
      <patternFill patternType="lightDown">
        <bgColor theme="6" tint="0.79998168889431442"/>
      </patternFill>
    </fill>
    <fill>
      <patternFill patternType="solid">
        <fgColor theme="5" tint="0.59999389629810485"/>
        <bgColor indexed="64"/>
      </patternFill>
    </fill>
    <fill>
      <patternFill patternType="lightDown">
        <bgColor theme="5" tint="0.5999938962981048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lightDown"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lightDown"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0" fontId="9" fillId="0" borderId="0"/>
    <xf numFmtId="0" fontId="3" fillId="0" borderId="0"/>
    <xf numFmtId="44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81">
    <xf numFmtId="0" fontId="0" fillId="0" borderId="0" xfId="0"/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  <xf numFmtId="0" fontId="6" fillId="0" borderId="7" xfId="0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8" fontId="5" fillId="4" borderId="6" xfId="0" applyNumberFormat="1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5" fillId="4" borderId="10" xfId="0" applyFont="1" applyFill="1" applyBorder="1" applyAlignment="1">
      <alignment horizontal="center" vertical="top" wrapText="1"/>
    </xf>
    <xf numFmtId="0" fontId="5" fillId="4" borderId="1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right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right" vertical="top" wrapText="1"/>
    </xf>
    <xf numFmtId="0" fontId="5" fillId="2" borderId="6" xfId="0" applyFont="1" applyFill="1" applyBorder="1" applyAlignment="1">
      <alignment horizontal="right" vertical="top" wrapText="1"/>
    </xf>
    <xf numFmtId="10" fontId="5" fillId="2" borderId="6" xfId="0" applyNumberFormat="1" applyFont="1" applyFill="1" applyBorder="1" applyAlignment="1">
      <alignment horizontal="center" vertical="top" wrapText="1"/>
    </xf>
    <xf numFmtId="8" fontId="5" fillId="2" borderId="6" xfId="0" applyNumberFormat="1" applyFont="1" applyFill="1" applyBorder="1" applyAlignment="1">
      <alignment horizontal="center" vertical="top" wrapText="1"/>
    </xf>
    <xf numFmtId="0" fontId="8" fillId="5" borderId="7" xfId="0" applyFont="1" applyFill="1" applyBorder="1" applyAlignment="1">
      <alignment horizontal="center" vertical="top" wrapText="1"/>
    </xf>
    <xf numFmtId="0" fontId="8" fillId="5" borderId="6" xfId="0" applyFont="1" applyFill="1" applyBorder="1" applyAlignment="1">
      <alignment horizontal="center" vertical="top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6" fillId="0" borderId="26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9" fillId="0" borderId="30" xfId="0" applyFont="1" applyBorder="1" applyAlignment="1">
      <alignment wrapText="1"/>
    </xf>
    <xf numFmtId="0" fontId="15" fillId="0" borderId="17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7" fillId="0" borderId="37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top" wrapText="1"/>
    </xf>
    <xf numFmtId="0" fontId="17" fillId="0" borderId="33" xfId="0" applyFont="1" applyBorder="1" applyAlignment="1">
      <alignment wrapText="1"/>
    </xf>
    <xf numFmtId="0" fontId="23" fillId="0" borderId="0" xfId="0" applyFont="1" applyAlignment="1">
      <alignment horizontal="left" vertical="center"/>
    </xf>
    <xf numFmtId="8" fontId="23" fillId="0" borderId="0" xfId="0" applyNumberFormat="1" applyFont="1" applyAlignment="1">
      <alignment horizontal="left" vertical="center"/>
    </xf>
    <xf numFmtId="0" fontId="0" fillId="0" borderId="32" xfId="0" applyBorder="1"/>
    <xf numFmtId="0" fontId="0" fillId="0" borderId="30" xfId="0" applyBorder="1"/>
    <xf numFmtId="0" fontId="10" fillId="0" borderId="33" xfId="0" applyFont="1" applyBorder="1" applyAlignment="1">
      <alignment horizontal="center" vertical="top" wrapText="1"/>
    </xf>
    <xf numFmtId="0" fontId="11" fillId="0" borderId="37" xfId="0" applyFont="1" applyBorder="1" applyAlignment="1">
      <alignment horizontal="left" vertical="center" wrapText="1"/>
    </xf>
    <xf numFmtId="0" fontId="15" fillId="0" borderId="39" xfId="0" applyFont="1" applyBorder="1" applyAlignment="1">
      <alignment horizontal="center" vertical="top" wrapText="1"/>
    </xf>
    <xf numFmtId="0" fontId="0" fillId="0" borderId="17" xfId="0" applyBorder="1"/>
    <xf numFmtId="0" fontId="10" fillId="0" borderId="39" xfId="0" applyFont="1" applyBorder="1" applyAlignment="1">
      <alignment horizontal="center" vertical="top" wrapText="1"/>
    </xf>
    <xf numFmtId="0" fontId="10" fillId="0" borderId="28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7" fillId="0" borderId="28" xfId="0" applyFont="1" applyBorder="1" applyAlignment="1">
      <alignment vertical="center" wrapText="1"/>
    </xf>
    <xf numFmtId="4" fontId="5" fillId="2" borderId="6" xfId="0" applyNumberFormat="1" applyFont="1" applyFill="1" applyBorder="1" applyAlignment="1">
      <alignment horizontal="center" vertical="center" wrapText="1"/>
    </xf>
    <xf numFmtId="8" fontId="24" fillId="5" borderId="6" xfId="0" applyNumberFormat="1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top" wrapText="1"/>
    </xf>
    <xf numFmtId="44" fontId="21" fillId="0" borderId="43" xfId="1" applyFont="1" applyFill="1" applyBorder="1" applyAlignment="1">
      <alignment horizontal="center" vertical="center" wrapText="1" shrinkToFit="1" readingOrder="1"/>
    </xf>
    <xf numFmtId="0" fontId="21" fillId="0" borderId="41" xfId="0" applyFont="1" applyBorder="1" applyAlignment="1">
      <alignment horizontal="center" vertical="top" wrapText="1"/>
    </xf>
    <xf numFmtId="44" fontId="21" fillId="0" borderId="46" xfId="1" applyFont="1" applyFill="1" applyBorder="1" applyAlignment="1">
      <alignment horizontal="center" vertical="center" wrapText="1" shrinkToFit="1" readingOrder="1"/>
    </xf>
    <xf numFmtId="0" fontId="21" fillId="0" borderId="48" xfId="0" applyFont="1" applyBorder="1" applyAlignment="1">
      <alignment horizontal="center" vertical="top" wrapText="1"/>
    </xf>
    <xf numFmtId="2" fontId="21" fillId="0" borderId="43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horizontal="right" vertical="top" wrapText="1"/>
    </xf>
    <xf numFmtId="44" fontId="22" fillId="0" borderId="38" xfId="1" applyFont="1" applyFill="1" applyBorder="1" applyAlignment="1">
      <alignment horizontal="center" vertical="center" wrapText="1" shrinkToFit="1" readingOrder="1"/>
    </xf>
    <xf numFmtId="0" fontId="22" fillId="0" borderId="43" xfId="0" applyFont="1" applyBorder="1" applyAlignment="1">
      <alignment horizontal="center" vertical="top" wrapText="1"/>
    </xf>
    <xf numFmtId="2" fontId="21" fillId="8" borderId="43" xfId="0" applyNumberFormat="1" applyFont="1" applyFill="1" applyBorder="1" applyAlignment="1">
      <alignment horizontal="center" vertical="top" wrapText="1"/>
    </xf>
    <xf numFmtId="8" fontId="6" fillId="4" borderId="44" xfId="0" applyNumberFormat="1" applyFont="1" applyFill="1" applyBorder="1" applyAlignment="1">
      <alignment horizontal="center" vertical="top" wrapText="1"/>
    </xf>
    <xf numFmtId="0" fontId="22" fillId="0" borderId="41" xfId="0" applyFont="1" applyBorder="1" applyAlignment="1">
      <alignment horizontal="center" vertical="top" wrapText="1"/>
    </xf>
    <xf numFmtId="2" fontId="21" fillId="8" borderId="41" xfId="0" applyNumberFormat="1" applyFont="1" applyFill="1" applyBorder="1" applyAlignment="1">
      <alignment horizontal="center" vertical="top" wrapText="1"/>
    </xf>
    <xf numFmtId="2" fontId="21" fillId="0" borderId="41" xfId="0" applyNumberFormat="1" applyFont="1" applyBorder="1" applyAlignment="1">
      <alignment horizontal="center" vertical="top" wrapText="1"/>
    </xf>
    <xf numFmtId="0" fontId="22" fillId="0" borderId="48" xfId="0" applyFont="1" applyBorder="1" applyAlignment="1">
      <alignment horizontal="center" vertical="top" wrapText="1"/>
    </xf>
    <xf numFmtId="2" fontId="21" fillId="8" borderId="48" xfId="0" applyNumberFormat="1" applyFont="1" applyFill="1" applyBorder="1" applyAlignment="1">
      <alignment horizontal="center" vertical="top" wrapText="1"/>
    </xf>
    <xf numFmtId="8" fontId="6" fillId="4" borderId="49" xfId="0" applyNumberFormat="1" applyFont="1" applyFill="1" applyBorder="1" applyAlignment="1">
      <alignment horizontal="center" vertical="top" wrapText="1"/>
    </xf>
    <xf numFmtId="8" fontId="6" fillId="4" borderId="48" xfId="0" applyNumberFormat="1" applyFont="1" applyFill="1" applyBorder="1" applyAlignment="1">
      <alignment horizontal="center" vertical="top" wrapText="1"/>
    </xf>
    <xf numFmtId="0" fontId="6" fillId="4" borderId="42" xfId="0" applyFont="1" applyFill="1" applyBorder="1" applyAlignment="1">
      <alignment horizontal="center" vertical="top" wrapText="1"/>
    </xf>
    <xf numFmtId="8" fontId="6" fillId="4" borderId="43" xfId="0" applyNumberFormat="1" applyFont="1" applyFill="1" applyBorder="1" applyAlignment="1">
      <alignment horizontal="center" vertical="top" wrapText="1"/>
    </xf>
    <xf numFmtId="0" fontId="5" fillId="4" borderId="45" xfId="0" applyFont="1" applyFill="1" applyBorder="1" applyAlignment="1">
      <alignment horizontal="center" vertical="top" wrapText="1"/>
    </xf>
    <xf numFmtId="0" fontId="5" fillId="4" borderId="41" xfId="0" applyFont="1" applyFill="1" applyBorder="1" applyAlignment="1">
      <alignment horizontal="center" vertical="top" wrapText="1"/>
    </xf>
    <xf numFmtId="0" fontId="5" fillId="4" borderId="46" xfId="0" applyFont="1" applyFill="1" applyBorder="1" applyAlignment="1">
      <alignment horizontal="center" vertical="top" wrapText="1"/>
    </xf>
    <xf numFmtId="0" fontId="6" fillId="4" borderId="47" xfId="0" applyFont="1" applyFill="1" applyBorder="1" applyAlignment="1">
      <alignment horizontal="center" vertical="top" wrapText="1"/>
    </xf>
    <xf numFmtId="164" fontId="0" fillId="0" borderId="0" xfId="0" applyNumberFormat="1"/>
    <xf numFmtId="165" fontId="0" fillId="0" borderId="0" xfId="0" applyNumberFormat="1"/>
    <xf numFmtId="0" fontId="5" fillId="3" borderId="0" xfId="0" applyFont="1" applyFill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5" fillId="4" borderId="53" xfId="0" applyFont="1" applyFill="1" applyBorder="1" applyAlignment="1">
      <alignment horizontal="center" vertical="top" wrapText="1"/>
    </xf>
    <xf numFmtId="0" fontId="5" fillId="4" borderId="50" xfId="0" applyFont="1" applyFill="1" applyBorder="1" applyAlignment="1">
      <alignment horizontal="center" vertical="top" wrapText="1"/>
    </xf>
    <xf numFmtId="8" fontId="6" fillId="4" borderId="44" xfId="0" applyNumberFormat="1" applyFont="1" applyFill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top" wrapText="1"/>
    </xf>
    <xf numFmtId="0" fontId="21" fillId="0" borderId="58" xfId="0" applyFont="1" applyBorder="1" applyAlignment="1">
      <alignment horizontal="center" vertical="top" wrapText="1"/>
    </xf>
    <xf numFmtId="44" fontId="21" fillId="0" borderId="40" xfId="1" applyFont="1" applyBorder="1" applyAlignment="1">
      <alignment horizontal="center" vertical="top" wrapText="1"/>
    </xf>
    <xf numFmtId="44" fontId="21" fillId="0" borderId="41" xfId="1" applyFont="1" applyBorder="1" applyAlignment="1">
      <alignment horizontal="center" vertical="top" wrapText="1"/>
    </xf>
    <xf numFmtId="164" fontId="6" fillId="0" borderId="41" xfId="0" applyNumberFormat="1" applyFont="1" applyBorder="1" applyAlignment="1">
      <alignment horizontal="right" vertical="top" wrapText="1" readingOrder="1"/>
    </xf>
    <xf numFmtId="0" fontId="14" fillId="0" borderId="24" xfId="0" applyFont="1" applyBorder="1" applyAlignment="1">
      <alignment horizontal="center" vertical="center" wrapText="1"/>
    </xf>
    <xf numFmtId="7" fontId="14" fillId="0" borderId="22" xfId="0" applyNumberFormat="1" applyFont="1" applyBorder="1" applyAlignment="1">
      <alignment horizontal="center" vertical="center" wrapText="1"/>
    </xf>
    <xf numFmtId="44" fontId="0" fillId="0" borderId="0" xfId="1" applyFont="1"/>
    <xf numFmtId="0" fontId="21" fillId="0" borderId="57" xfId="0" applyFont="1" applyBorder="1" applyAlignment="1">
      <alignment horizontal="center" vertical="top" wrapText="1"/>
    </xf>
    <xf numFmtId="44" fontId="21" fillId="0" borderId="57" xfId="1" applyFont="1" applyBorder="1" applyAlignment="1">
      <alignment horizontal="center" vertical="top" wrapText="1"/>
    </xf>
    <xf numFmtId="0" fontId="21" fillId="0" borderId="56" xfId="0" applyFont="1" applyBorder="1" applyAlignment="1">
      <alignment horizontal="center" vertical="top" wrapText="1"/>
    </xf>
    <xf numFmtId="44" fontId="21" fillId="0" borderId="60" xfId="1" applyFont="1" applyFill="1" applyBorder="1" applyAlignment="1">
      <alignment horizontal="center" vertical="center" wrapText="1" shrinkToFit="1" readingOrder="1"/>
    </xf>
    <xf numFmtId="0" fontId="22" fillId="0" borderId="58" xfId="0" applyFont="1" applyBorder="1" applyAlignment="1">
      <alignment horizontal="center" vertical="top" wrapText="1"/>
    </xf>
    <xf numFmtId="0" fontId="26" fillId="0" borderId="57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10" fontId="11" fillId="0" borderId="57" xfId="0" applyNumberFormat="1" applyFon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66" fontId="23" fillId="0" borderId="0" xfId="0" applyNumberFormat="1" applyFont="1" applyAlignment="1">
      <alignment horizontal="left" vertical="center"/>
    </xf>
    <xf numFmtId="44" fontId="23" fillId="0" borderId="0" xfId="0" applyNumberFormat="1" applyFont="1" applyAlignment="1">
      <alignment horizontal="left" vertical="center"/>
    </xf>
    <xf numFmtId="8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61" xfId="0" applyFont="1" applyBorder="1" applyAlignment="1">
      <alignment horizontal="center" vertical="center" wrapText="1"/>
    </xf>
    <xf numFmtId="14" fontId="23" fillId="0" borderId="40" xfId="0" applyNumberFormat="1" applyFont="1" applyBorder="1" applyAlignment="1">
      <alignment horizontal="center" vertical="center" wrapText="1"/>
    </xf>
    <xf numFmtId="10" fontId="23" fillId="0" borderId="57" xfId="0" applyNumberFormat="1" applyFont="1" applyBorder="1" applyAlignment="1">
      <alignment horizontal="center" vertical="center" wrapText="1"/>
    </xf>
    <xf numFmtId="8" fontId="21" fillId="0" borderId="43" xfId="1" applyNumberFormat="1" applyFont="1" applyFill="1" applyBorder="1" applyAlignment="1">
      <alignment horizontal="center" vertical="center" wrapText="1" shrinkToFit="1" readingOrder="1"/>
    </xf>
    <xf numFmtId="8" fontId="21" fillId="0" borderId="41" xfId="1" applyNumberFormat="1" applyFont="1" applyFill="1" applyBorder="1" applyAlignment="1">
      <alignment horizontal="center" vertical="center" wrapText="1" shrinkToFit="1" readingOrder="1"/>
    </xf>
    <xf numFmtId="0" fontId="5" fillId="4" borderId="65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44" fontId="21" fillId="0" borderId="41" xfId="0" applyNumberFormat="1" applyFont="1" applyBorder="1" applyAlignment="1">
      <alignment horizontal="center" vertical="top" wrapText="1"/>
    </xf>
    <xf numFmtId="44" fontId="21" fillId="0" borderId="41" xfId="0" applyNumberFormat="1" applyFont="1" applyBorder="1" applyAlignment="1">
      <alignment horizontal="center" vertical="center" wrapText="1"/>
    </xf>
    <xf numFmtId="0" fontId="5" fillId="4" borderId="67" xfId="0" applyFont="1" applyFill="1" applyBorder="1" applyAlignment="1">
      <alignment horizontal="center" vertical="top" wrapText="1"/>
    </xf>
    <xf numFmtId="0" fontId="4" fillId="0" borderId="0" xfId="3"/>
    <xf numFmtId="168" fontId="4" fillId="0" borderId="69" xfId="3" applyNumberFormat="1" applyBorder="1"/>
    <xf numFmtId="0" fontId="4" fillId="0" borderId="29" xfId="3" applyBorder="1"/>
    <xf numFmtId="2" fontId="4" fillId="0" borderId="70" xfId="3" applyNumberFormat="1" applyBorder="1"/>
    <xf numFmtId="0" fontId="11" fillId="0" borderId="27" xfId="3" applyFont="1" applyBorder="1"/>
    <xf numFmtId="168" fontId="4" fillId="0" borderId="71" xfId="3" applyNumberFormat="1" applyBorder="1"/>
    <xf numFmtId="167" fontId="4" fillId="0" borderId="0" xfId="3" applyNumberFormat="1"/>
    <xf numFmtId="0" fontId="4" fillId="0" borderId="72" xfId="3" applyBorder="1"/>
    <xf numFmtId="0" fontId="11" fillId="0" borderId="37" xfId="3" applyFont="1" applyBorder="1"/>
    <xf numFmtId="2" fontId="4" fillId="0" borderId="71" xfId="3" applyNumberFormat="1" applyBorder="1"/>
    <xf numFmtId="2" fontId="4" fillId="0" borderId="0" xfId="3" applyNumberFormat="1"/>
    <xf numFmtId="0" fontId="17" fillId="0" borderId="37" xfId="3" applyFont="1" applyBorder="1"/>
    <xf numFmtId="2" fontId="4" fillId="0" borderId="73" xfId="3" applyNumberFormat="1" applyBorder="1"/>
    <xf numFmtId="0" fontId="4" fillId="0" borderId="68" xfId="3" applyBorder="1"/>
    <xf numFmtId="2" fontId="4" fillId="0" borderId="68" xfId="3" applyNumberFormat="1" applyBorder="1" applyAlignment="1">
      <alignment vertical="top"/>
    </xf>
    <xf numFmtId="2" fontId="4" fillId="0" borderId="68" xfId="3" applyNumberFormat="1" applyBorder="1"/>
    <xf numFmtId="0" fontId="11" fillId="0" borderId="74" xfId="3" applyFont="1" applyBorder="1"/>
    <xf numFmtId="0" fontId="11" fillId="0" borderId="75" xfId="3" applyFont="1" applyBorder="1"/>
    <xf numFmtId="0" fontId="4" fillId="0" borderId="76" xfId="3" applyBorder="1"/>
    <xf numFmtId="0" fontId="4" fillId="0" borderId="32" xfId="3" applyBorder="1"/>
    <xf numFmtId="2" fontId="4" fillId="0" borderId="32" xfId="3" applyNumberFormat="1" applyBorder="1"/>
    <xf numFmtId="0" fontId="4" fillId="0" borderId="77" xfId="3" applyBorder="1"/>
    <xf numFmtId="0" fontId="4" fillId="0" borderId="31" xfId="3" applyBorder="1"/>
    <xf numFmtId="2" fontId="11" fillId="0" borderId="69" xfId="3" applyNumberFormat="1" applyFont="1" applyBorder="1"/>
    <xf numFmtId="0" fontId="4" fillId="0" borderId="29" xfId="3" applyBorder="1" applyAlignment="1">
      <alignment horizontal="right"/>
    </xf>
    <xf numFmtId="2" fontId="30" fillId="0" borderId="29" xfId="3" applyNumberFormat="1" applyFont="1" applyBorder="1" applyProtection="1">
      <protection locked="0"/>
    </xf>
    <xf numFmtId="0" fontId="11" fillId="0" borderId="70" xfId="3" applyFont="1" applyBorder="1"/>
    <xf numFmtId="2" fontId="29" fillId="0" borderId="71" xfId="3" applyNumberFormat="1" applyFont="1" applyBorder="1"/>
    <xf numFmtId="2" fontId="30" fillId="0" borderId="0" xfId="3" applyNumberFormat="1" applyFont="1" applyAlignment="1" applyProtection="1">
      <alignment vertical="justify"/>
      <protection locked="0"/>
    </xf>
    <xf numFmtId="0" fontId="4" fillId="0" borderId="37" xfId="3" applyBorder="1"/>
    <xf numFmtId="2" fontId="30" fillId="0" borderId="0" xfId="3" applyNumberFormat="1" applyFont="1" applyProtection="1">
      <protection locked="0"/>
    </xf>
    <xf numFmtId="2" fontId="29" fillId="0" borderId="76" xfId="3" applyNumberFormat="1" applyFont="1" applyBorder="1"/>
    <xf numFmtId="2" fontId="30" fillId="0" borderId="32" xfId="3" applyNumberFormat="1" applyFont="1" applyBorder="1" applyAlignment="1" applyProtection="1">
      <alignment vertical="justify"/>
      <protection locked="0"/>
    </xf>
    <xf numFmtId="2" fontId="30" fillId="0" borderId="29" xfId="3" applyNumberFormat="1" applyFont="1" applyBorder="1" applyAlignment="1" applyProtection="1">
      <alignment vertical="justify"/>
      <protection locked="0"/>
    </xf>
    <xf numFmtId="9" fontId="30" fillId="0" borderId="0" xfId="3" applyNumberFormat="1" applyFont="1" applyProtection="1">
      <protection locked="0"/>
    </xf>
    <xf numFmtId="2" fontId="30" fillId="0" borderId="32" xfId="3" applyNumberFormat="1" applyFont="1" applyBorder="1" applyProtection="1">
      <protection locked="0"/>
    </xf>
    <xf numFmtId="0" fontId="3" fillId="0" borderId="0" xfId="4"/>
    <xf numFmtId="165" fontId="32" fillId="11" borderId="61" xfId="4" applyNumberFormat="1" applyFont="1" applyFill="1" applyBorder="1" applyAlignment="1">
      <alignment vertical="center"/>
    </xf>
    <xf numFmtId="168" fontId="32" fillId="0" borderId="61" xfId="4" applyNumberFormat="1" applyFont="1" applyBorder="1" applyAlignment="1">
      <alignment vertical="center"/>
    </xf>
    <xf numFmtId="168" fontId="3" fillId="0" borderId="61" xfId="4" applyNumberFormat="1" applyBorder="1" applyAlignment="1">
      <alignment vertical="center"/>
    </xf>
    <xf numFmtId="168" fontId="3" fillId="11" borderId="61" xfId="4" applyNumberFormat="1" applyFill="1" applyBorder="1" applyAlignment="1">
      <alignment vertical="center"/>
    </xf>
    <xf numFmtId="169" fontId="32" fillId="11" borderId="61" xfId="4" applyNumberFormat="1" applyFont="1" applyFill="1" applyBorder="1" applyAlignment="1">
      <alignment horizontal="center" vertical="center"/>
    </xf>
    <xf numFmtId="0" fontId="3" fillId="12" borderId="61" xfId="4" applyFill="1" applyBorder="1"/>
    <xf numFmtId="169" fontId="3" fillId="11" borderId="61" xfId="4" applyNumberFormat="1" applyFill="1" applyBorder="1" applyAlignment="1">
      <alignment horizontal="center" vertical="center"/>
    </xf>
    <xf numFmtId="169" fontId="3" fillId="11" borderId="61" xfId="4" applyNumberFormat="1" applyFill="1" applyBorder="1" applyAlignment="1">
      <alignment horizontal="center" vertical="center" wrapText="1"/>
    </xf>
    <xf numFmtId="0" fontId="32" fillId="11" borderId="61" xfId="4" applyFont="1" applyFill="1" applyBorder="1" applyAlignment="1">
      <alignment horizontal="center" wrapText="1"/>
    </xf>
    <xf numFmtId="168" fontId="3" fillId="0" borderId="0" xfId="4" applyNumberFormat="1"/>
    <xf numFmtId="168" fontId="3" fillId="13" borderId="61" xfId="4" applyNumberFormat="1" applyFill="1" applyBorder="1" applyAlignment="1">
      <alignment vertical="center"/>
    </xf>
    <xf numFmtId="0" fontId="3" fillId="14" borderId="61" xfId="4" applyFill="1" applyBorder="1"/>
    <xf numFmtId="169" fontId="3" fillId="13" borderId="61" xfId="4" applyNumberFormat="1" applyFill="1" applyBorder="1" applyAlignment="1">
      <alignment horizontal="center" vertical="center" wrapText="1"/>
    </xf>
    <xf numFmtId="0" fontId="32" fillId="13" borderId="61" xfId="4" applyFont="1" applyFill="1" applyBorder="1" applyAlignment="1">
      <alignment horizontal="center" wrapText="1"/>
    </xf>
    <xf numFmtId="168" fontId="3" fillId="15" borderId="61" xfId="4" applyNumberFormat="1" applyFill="1" applyBorder="1" applyAlignment="1">
      <alignment vertical="center"/>
    </xf>
    <xf numFmtId="169" fontId="32" fillId="15" borderId="61" xfId="4" applyNumberFormat="1" applyFont="1" applyFill="1" applyBorder="1" applyAlignment="1">
      <alignment horizontal="center" vertical="center"/>
    </xf>
    <xf numFmtId="169" fontId="3" fillId="15" borderId="61" xfId="4" applyNumberFormat="1" applyFill="1" applyBorder="1" applyAlignment="1">
      <alignment horizontal="center" vertical="center"/>
    </xf>
    <xf numFmtId="0" fontId="3" fillId="16" borderId="61" xfId="4" applyFill="1" applyBorder="1"/>
    <xf numFmtId="0" fontId="32" fillId="15" borderId="61" xfId="4" applyFont="1" applyFill="1" applyBorder="1" applyAlignment="1">
      <alignment horizontal="center" vertical="center" wrapText="1"/>
    </xf>
    <xf numFmtId="169" fontId="3" fillId="0" borderId="0" xfId="4" applyNumberFormat="1"/>
    <xf numFmtId="168" fontId="3" fillId="17" borderId="78" xfId="4" applyNumberFormat="1" applyFill="1" applyBorder="1" applyAlignment="1">
      <alignment vertical="center"/>
    </xf>
    <xf numFmtId="169" fontId="32" fillId="17" borderId="61" xfId="4" applyNumberFormat="1" applyFont="1" applyFill="1" applyBorder="1" applyAlignment="1">
      <alignment horizontal="center" vertical="center"/>
    </xf>
    <xf numFmtId="169" fontId="3" fillId="17" borderId="61" xfId="4" applyNumberFormat="1" applyFill="1" applyBorder="1" applyAlignment="1">
      <alignment horizontal="center" vertical="center"/>
    </xf>
    <xf numFmtId="0" fontId="3" fillId="17" borderId="61" xfId="4" applyFill="1" applyBorder="1" applyAlignment="1">
      <alignment horizontal="center" vertical="center"/>
    </xf>
    <xf numFmtId="169" fontId="0" fillId="17" borderId="61" xfId="5" applyNumberFormat="1" applyFont="1" applyFill="1" applyBorder="1" applyAlignment="1">
      <alignment horizontal="center" vertical="center"/>
    </xf>
    <xf numFmtId="0" fontId="3" fillId="18" borderId="61" xfId="4" applyFill="1" applyBorder="1"/>
    <xf numFmtId="168" fontId="3" fillId="17" borderId="61" xfId="4" applyNumberFormat="1" applyFill="1" applyBorder="1" applyAlignment="1">
      <alignment vertical="center"/>
    </xf>
    <xf numFmtId="169" fontId="3" fillId="17" borderId="61" xfId="4" applyNumberFormat="1" applyFill="1" applyBorder="1" applyAlignment="1">
      <alignment horizontal="center" vertical="center" wrapText="1"/>
    </xf>
    <xf numFmtId="168" fontId="3" fillId="19" borderId="61" xfId="4" applyNumberFormat="1" applyFill="1" applyBorder="1" applyAlignment="1">
      <alignment vertical="center"/>
    </xf>
    <xf numFmtId="169" fontId="32" fillId="19" borderId="61" xfId="4" applyNumberFormat="1" applyFont="1" applyFill="1" applyBorder="1" applyAlignment="1">
      <alignment horizontal="center" vertical="center"/>
    </xf>
    <xf numFmtId="169" fontId="3" fillId="19" borderId="61" xfId="4" applyNumberFormat="1" applyFill="1" applyBorder="1" applyAlignment="1">
      <alignment horizontal="center" vertical="center"/>
    </xf>
    <xf numFmtId="169" fontId="3" fillId="19" borderId="61" xfId="4" applyNumberFormat="1" applyFill="1" applyBorder="1" applyAlignment="1">
      <alignment horizontal="center" vertical="center" wrapText="1"/>
    </xf>
    <xf numFmtId="0" fontId="32" fillId="19" borderId="61" xfId="4" applyFont="1" applyFill="1" applyBorder="1" applyAlignment="1">
      <alignment horizontal="center" wrapText="1"/>
    </xf>
    <xf numFmtId="168" fontId="3" fillId="20" borderId="61" xfId="4" applyNumberFormat="1" applyFill="1" applyBorder="1" applyAlignment="1">
      <alignment vertical="center"/>
    </xf>
    <xf numFmtId="169" fontId="32" fillId="20" borderId="61" xfId="4" applyNumberFormat="1" applyFont="1" applyFill="1" applyBorder="1" applyAlignment="1">
      <alignment horizontal="center" vertical="center"/>
    </xf>
    <xf numFmtId="169" fontId="3" fillId="20" borderId="61" xfId="4" applyNumberFormat="1" applyFill="1" applyBorder="1" applyAlignment="1">
      <alignment horizontal="center" vertical="center"/>
    </xf>
    <xf numFmtId="0" fontId="3" fillId="20" borderId="61" xfId="4" applyFill="1" applyBorder="1" applyAlignment="1">
      <alignment horizontal="center" vertical="center" wrapText="1"/>
    </xf>
    <xf numFmtId="0" fontId="3" fillId="21" borderId="61" xfId="4" applyFill="1" applyBorder="1"/>
    <xf numFmtId="168" fontId="3" fillId="22" borderId="61" xfId="4" applyNumberFormat="1" applyFill="1" applyBorder="1" applyAlignment="1">
      <alignment vertical="center"/>
    </xf>
    <xf numFmtId="169" fontId="32" fillId="22" borderId="61" xfId="4" applyNumberFormat="1" applyFont="1" applyFill="1" applyBorder="1" applyAlignment="1">
      <alignment horizontal="center" vertical="center"/>
    </xf>
    <xf numFmtId="0" fontId="3" fillId="23" borderId="61" xfId="4" applyFill="1" applyBorder="1"/>
    <xf numFmtId="169" fontId="3" fillId="22" borderId="61" xfId="4" applyNumberFormat="1" applyFill="1" applyBorder="1" applyAlignment="1">
      <alignment horizontal="center" vertical="center"/>
    </xf>
    <xf numFmtId="0" fontId="3" fillId="22" borderId="61" xfId="4" applyFill="1" applyBorder="1"/>
    <xf numFmtId="0" fontId="32" fillId="22" borderId="61" xfId="4" applyFont="1" applyFill="1" applyBorder="1" applyAlignment="1">
      <alignment horizontal="center" wrapText="1"/>
    </xf>
    <xf numFmtId="0" fontId="32" fillId="0" borderId="61" xfId="4" applyFont="1" applyBorder="1" applyAlignment="1">
      <alignment horizontal="center"/>
    </xf>
    <xf numFmtId="168" fontId="3" fillId="0" borderId="61" xfId="4" applyNumberFormat="1" applyBorder="1"/>
    <xf numFmtId="165" fontId="3" fillId="0" borderId="61" xfId="4" applyNumberFormat="1" applyBorder="1"/>
    <xf numFmtId="168" fontId="3" fillId="24" borderId="61" xfId="4" applyNumberFormat="1" applyFill="1" applyBorder="1"/>
    <xf numFmtId="44" fontId="3" fillId="0" borderId="0" xfId="4" applyNumberFormat="1"/>
    <xf numFmtId="167" fontId="3" fillId="15" borderId="61" xfId="4" applyNumberFormat="1" applyFill="1" applyBorder="1" applyAlignment="1">
      <alignment horizontal="center"/>
    </xf>
    <xf numFmtId="168" fontId="33" fillId="25" borderId="61" xfId="4" applyNumberFormat="1" applyFont="1" applyFill="1" applyBorder="1"/>
    <xf numFmtId="44" fontId="33" fillId="25" borderId="61" xfId="4" applyNumberFormat="1" applyFont="1" applyFill="1" applyBorder="1"/>
    <xf numFmtId="44" fontId="34" fillId="0" borderId="61" xfId="4" applyNumberFormat="1" applyFont="1" applyBorder="1"/>
    <xf numFmtId="44" fontId="3" fillId="22" borderId="61" xfId="4" applyNumberFormat="1" applyFill="1" applyBorder="1"/>
    <xf numFmtId="44" fontId="35" fillId="25" borderId="61" xfId="4" applyNumberFormat="1" applyFont="1" applyFill="1" applyBorder="1"/>
    <xf numFmtId="0" fontId="35" fillId="25" borderId="61" xfId="4" applyFont="1" applyFill="1" applyBorder="1" applyAlignment="1">
      <alignment horizontal="center" vertical="center"/>
    </xf>
    <xf numFmtId="170" fontId="6" fillId="0" borderId="83" xfId="0" applyNumberFormat="1" applyFont="1" applyBorder="1" applyAlignment="1">
      <alignment horizontal="center" vertical="center" wrapText="1" readingOrder="1"/>
    </xf>
    <xf numFmtId="44" fontId="5" fillId="4" borderId="64" xfId="0" applyNumberFormat="1" applyFont="1" applyFill="1" applyBorder="1" applyAlignment="1">
      <alignment horizontal="center" vertical="top" wrapText="1"/>
    </xf>
    <xf numFmtId="0" fontId="21" fillId="8" borderId="41" xfId="0" applyFont="1" applyFill="1" applyBorder="1" applyAlignment="1">
      <alignment horizontal="center" vertical="center" wrapText="1"/>
    </xf>
    <xf numFmtId="170" fontId="6" fillId="0" borderId="41" xfId="0" applyNumberFormat="1" applyFont="1" applyBorder="1" applyAlignment="1">
      <alignment horizontal="right" vertical="center" wrapText="1" readingOrder="1"/>
    </xf>
    <xf numFmtId="4" fontId="0" fillId="0" borderId="0" xfId="0" applyNumberFormat="1"/>
    <xf numFmtId="0" fontId="28" fillId="10" borderId="61" xfId="0" applyFont="1" applyFill="1" applyBorder="1" applyAlignment="1">
      <alignment horizontal="center" vertical="center"/>
    </xf>
    <xf numFmtId="8" fontId="28" fillId="10" borderId="61" xfId="0" applyNumberFormat="1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0" fontId="36" fillId="0" borderId="56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171" fontId="21" fillId="0" borderId="43" xfId="0" applyNumberFormat="1" applyFont="1" applyBorder="1" applyAlignment="1">
      <alignment horizontal="center" vertical="top" wrapText="1"/>
    </xf>
    <xf numFmtId="170" fontId="6" fillId="0" borderId="61" xfId="0" applyNumberFormat="1" applyFont="1" applyBorder="1" applyAlignment="1">
      <alignment horizontal="center" vertical="center" wrapText="1" readingOrder="1"/>
    </xf>
    <xf numFmtId="0" fontId="23" fillId="0" borderId="61" xfId="0" applyFont="1" applyBorder="1" applyAlignment="1">
      <alignment horizontal="center" vertical="center"/>
    </xf>
    <xf numFmtId="8" fontId="0" fillId="0" borderId="0" xfId="0" applyNumberFormat="1"/>
    <xf numFmtId="0" fontId="0" fillId="0" borderId="61" xfId="0" applyBorder="1" applyAlignment="1">
      <alignment horizontal="center" vertical="center"/>
    </xf>
    <xf numFmtId="8" fontId="0" fillId="0" borderId="61" xfId="0" applyNumberFormat="1" applyBorder="1" applyAlignment="1">
      <alignment horizontal="center" vertical="center"/>
    </xf>
    <xf numFmtId="44" fontId="28" fillId="10" borderId="61" xfId="0" applyNumberFormat="1" applyFont="1" applyFill="1" applyBorder="1" applyAlignment="1">
      <alignment horizontal="center" vertical="center"/>
    </xf>
    <xf numFmtId="0" fontId="0" fillId="27" borderId="0" xfId="0" applyFill="1"/>
    <xf numFmtId="0" fontId="6" fillId="0" borderId="41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 wrapText="1"/>
    </xf>
    <xf numFmtId="0" fontId="39" fillId="0" borderId="91" xfId="0" applyFont="1" applyBorder="1" applyAlignment="1">
      <alignment horizontal="center" vertical="center" wrapText="1"/>
    </xf>
    <xf numFmtId="44" fontId="38" fillId="0" borderId="61" xfId="1" applyFont="1" applyBorder="1" applyAlignment="1">
      <alignment vertical="center" wrapText="1"/>
    </xf>
    <xf numFmtId="10" fontId="37" fillId="0" borderId="61" xfId="10" applyNumberFormat="1" applyFont="1" applyBorder="1" applyAlignment="1">
      <alignment horizontal="center" vertical="center" wrapText="1"/>
    </xf>
    <xf numFmtId="0" fontId="39" fillId="0" borderId="92" xfId="0" applyFont="1" applyBorder="1" applyAlignment="1">
      <alignment horizontal="center" vertical="center" wrapText="1"/>
    </xf>
    <xf numFmtId="0" fontId="0" fillId="0" borderId="61" xfId="0" applyBorder="1"/>
    <xf numFmtId="0" fontId="9" fillId="0" borderId="61" xfId="0" applyFont="1" applyBorder="1" applyAlignment="1">
      <alignment horizontal="center" vertical="center"/>
    </xf>
    <xf numFmtId="10" fontId="6" fillId="4" borderId="42" xfId="0" applyNumberFormat="1" applyFont="1" applyFill="1" applyBorder="1" applyAlignment="1">
      <alignment horizontal="center" vertical="top" wrapText="1"/>
    </xf>
    <xf numFmtId="10" fontId="6" fillId="4" borderId="47" xfId="0" applyNumberFormat="1" applyFont="1" applyFill="1" applyBorder="1" applyAlignment="1">
      <alignment horizontal="center" vertical="top" wrapText="1"/>
    </xf>
    <xf numFmtId="0" fontId="21" fillId="0" borderId="41" xfId="0" applyFont="1" applyBorder="1" applyAlignment="1">
      <alignment horizontal="center" vertical="center" wrapText="1"/>
    </xf>
    <xf numFmtId="164" fontId="6" fillId="0" borderId="41" xfId="0" applyNumberFormat="1" applyFont="1" applyBorder="1" applyAlignment="1">
      <alignment horizontal="center" vertical="center" wrapText="1" readingOrder="1"/>
    </xf>
    <xf numFmtId="0" fontId="22" fillId="0" borderId="43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165" fontId="21" fillId="8" borderId="43" xfId="0" applyNumberFormat="1" applyFont="1" applyFill="1" applyBorder="1" applyAlignment="1">
      <alignment horizontal="center" vertical="center" wrapText="1"/>
    </xf>
    <xf numFmtId="2" fontId="21" fillId="0" borderId="43" xfId="0" applyNumberFormat="1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2" fontId="21" fillId="0" borderId="41" xfId="0" applyNumberFormat="1" applyFont="1" applyBorder="1" applyAlignment="1">
      <alignment horizontal="center" vertical="center" wrapText="1"/>
    </xf>
    <xf numFmtId="0" fontId="10" fillId="0" borderId="41" xfId="0" applyFont="1" applyBorder="1" applyAlignment="1">
      <alignment vertical="center" wrapText="1"/>
    </xf>
    <xf numFmtId="0" fontId="10" fillId="0" borderId="56" xfId="0" applyFont="1" applyBorder="1" applyAlignment="1">
      <alignment vertical="center" wrapText="1"/>
    </xf>
    <xf numFmtId="44" fontId="10" fillId="0" borderId="41" xfId="1" applyFont="1" applyBorder="1" applyAlignment="1">
      <alignment horizontal="right" vertical="center" wrapText="1"/>
    </xf>
    <xf numFmtId="44" fontId="10" fillId="0" borderId="56" xfId="1" applyFont="1" applyBorder="1" applyAlignment="1">
      <alignment horizontal="right" vertical="center" wrapText="1"/>
    </xf>
    <xf numFmtId="0" fontId="39" fillId="0" borderId="91" xfId="0" applyFont="1" applyBorder="1" applyAlignment="1">
      <alignment horizontal="left" vertical="center" wrapText="1"/>
    </xf>
    <xf numFmtId="10" fontId="23" fillId="0" borderId="41" xfId="0" applyNumberFormat="1" applyFont="1" applyBorder="1" applyAlignment="1">
      <alignment horizontal="center" vertical="center" wrapText="1"/>
    </xf>
    <xf numFmtId="10" fontId="23" fillId="0" borderId="56" xfId="0" applyNumberFormat="1" applyFont="1" applyBorder="1" applyAlignment="1">
      <alignment horizontal="center" vertical="center" wrapText="1"/>
    </xf>
    <xf numFmtId="172" fontId="23" fillId="0" borderId="57" xfId="0" applyNumberFormat="1" applyFont="1" applyBorder="1" applyAlignment="1">
      <alignment horizontal="center" vertical="center" wrapText="1"/>
    </xf>
    <xf numFmtId="172" fontId="23" fillId="0" borderId="56" xfId="0" applyNumberFormat="1" applyFont="1" applyBorder="1" applyAlignment="1">
      <alignment horizontal="center" vertical="center" wrapText="1"/>
    </xf>
    <xf numFmtId="44" fontId="21" fillId="8" borderId="41" xfId="0" applyNumberFormat="1" applyFont="1" applyFill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8" fontId="21" fillId="0" borderId="56" xfId="1" applyNumberFormat="1" applyFont="1" applyFill="1" applyBorder="1" applyAlignment="1">
      <alignment horizontal="center" vertical="center" wrapText="1" shrinkToFit="1" readingOrder="1"/>
    </xf>
    <xf numFmtId="0" fontId="21" fillId="0" borderId="56" xfId="0" applyFont="1" applyBorder="1" applyAlignment="1">
      <alignment horizontal="center" vertical="center" wrapText="1"/>
    </xf>
    <xf numFmtId="165" fontId="21" fillId="8" borderId="56" xfId="0" applyNumberFormat="1" applyFont="1" applyFill="1" applyBorder="1" applyAlignment="1">
      <alignment horizontal="center" vertical="center" wrapText="1"/>
    </xf>
    <xf numFmtId="2" fontId="21" fillId="0" borderId="56" xfId="0" applyNumberFormat="1" applyFont="1" applyBorder="1" applyAlignment="1">
      <alignment horizontal="center" vertical="center" wrapText="1"/>
    </xf>
    <xf numFmtId="8" fontId="6" fillId="4" borderId="60" xfId="0" applyNumberFormat="1" applyFont="1" applyFill="1" applyBorder="1" applyAlignment="1">
      <alignment horizontal="center" vertical="center" wrapText="1"/>
    </xf>
    <xf numFmtId="165" fontId="21" fillId="8" borderId="63" xfId="0" applyNumberFormat="1" applyFont="1" applyFill="1" applyBorder="1" applyAlignment="1">
      <alignment horizontal="center" vertical="center" wrapText="1"/>
    </xf>
    <xf numFmtId="8" fontId="6" fillId="4" borderId="41" xfId="0" applyNumberFormat="1" applyFont="1" applyFill="1" applyBorder="1" applyAlignment="1">
      <alignment horizontal="center" vertical="center" wrapText="1"/>
    </xf>
    <xf numFmtId="14" fontId="23" fillId="0" borderId="41" xfId="0" applyNumberFormat="1" applyFont="1" applyBorder="1" applyAlignment="1">
      <alignment horizontal="center" vertical="center" wrapText="1"/>
    </xf>
    <xf numFmtId="9" fontId="23" fillId="0" borderId="56" xfId="0" applyNumberFormat="1" applyFont="1" applyBorder="1" applyAlignment="1">
      <alignment horizontal="center" vertical="center" wrapText="1"/>
    </xf>
    <xf numFmtId="0" fontId="44" fillId="0" borderId="41" xfId="0" applyFont="1" applyBorder="1" applyAlignment="1">
      <alignment vertical="center" wrapText="1"/>
    </xf>
    <xf numFmtId="0" fontId="44" fillId="0" borderId="40" xfId="0" applyFont="1" applyBorder="1" applyAlignment="1">
      <alignment horizontal="center" vertical="center" wrapText="1"/>
    </xf>
    <xf numFmtId="44" fontId="44" fillId="0" borderId="40" xfId="1" applyFont="1" applyBorder="1" applyAlignment="1">
      <alignment horizontal="right" vertical="center" wrapText="1"/>
    </xf>
    <xf numFmtId="0" fontId="44" fillId="0" borderId="56" xfId="0" applyFont="1" applyBorder="1" applyAlignment="1">
      <alignment horizontal="justify" vertical="center" wrapText="1"/>
    </xf>
    <xf numFmtId="0" fontId="44" fillId="0" borderId="57" xfId="0" applyFont="1" applyBorder="1" applyAlignment="1">
      <alignment horizontal="center" vertical="center" wrapText="1"/>
    </xf>
    <xf numFmtId="44" fontId="44" fillId="0" borderId="57" xfId="1" applyFont="1" applyBorder="1" applyAlignment="1">
      <alignment horizontal="right" vertical="center" wrapText="1"/>
    </xf>
    <xf numFmtId="0" fontId="44" fillId="0" borderId="5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6" fillId="0" borderId="24" xfId="0" applyFont="1" applyBorder="1" applyAlignment="1">
      <alignment horizontal="center" vertical="center" wrapText="1"/>
    </xf>
    <xf numFmtId="165" fontId="14" fillId="0" borderId="21" xfId="0" applyNumberFormat="1" applyFont="1" applyBorder="1" applyAlignment="1">
      <alignment vertical="center" wrapText="1"/>
    </xf>
    <xf numFmtId="165" fontId="14" fillId="0" borderId="40" xfId="0" applyNumberFormat="1" applyFont="1" applyBorder="1" applyAlignment="1">
      <alignment vertical="center" wrapText="1"/>
    </xf>
    <xf numFmtId="0" fontId="10" fillId="6" borderId="95" xfId="0" applyFont="1" applyFill="1" applyBorder="1" applyAlignment="1">
      <alignment horizontal="center" vertical="top" wrapText="1"/>
    </xf>
    <xf numFmtId="0" fontId="8" fillId="5" borderId="14" xfId="0" applyFont="1" applyFill="1" applyBorder="1" applyAlignment="1">
      <alignment horizontal="center" vertical="top" wrapText="1"/>
    </xf>
    <xf numFmtId="0" fontId="8" fillId="5" borderId="15" xfId="0" applyFont="1" applyFill="1" applyBorder="1" applyAlignment="1">
      <alignment horizontal="center" vertical="top" wrapText="1"/>
    </xf>
    <xf numFmtId="0" fontId="5" fillId="5" borderId="14" xfId="0" applyFont="1" applyFill="1" applyBorder="1" applyAlignment="1">
      <alignment vertical="top" wrapText="1"/>
    </xf>
    <xf numFmtId="0" fontId="5" fillId="5" borderId="15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4" borderId="14" xfId="0" applyFont="1" applyFill="1" applyBorder="1" applyAlignment="1">
      <alignment horizontal="center" vertical="top" wrapText="1"/>
    </xf>
    <xf numFmtId="0" fontId="5" fillId="4" borderId="15" xfId="0" applyFont="1" applyFill="1" applyBorder="1" applyAlignment="1">
      <alignment horizontal="center" vertical="top" wrapText="1"/>
    </xf>
    <xf numFmtId="0" fontId="5" fillId="2" borderId="14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0" fontId="5" fillId="2" borderId="14" xfId="0" applyFont="1" applyFill="1" applyBorder="1" applyAlignment="1">
      <alignment vertical="top" wrapText="1"/>
    </xf>
    <xf numFmtId="0" fontId="5" fillId="2" borderId="15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3" borderId="14" xfId="0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top" wrapText="1"/>
    </xf>
    <xf numFmtId="0" fontId="5" fillId="0" borderId="93" xfId="0" applyFont="1" applyBorder="1" applyAlignment="1">
      <alignment horizontal="center" vertical="top" wrapText="1"/>
    </xf>
    <xf numFmtId="0" fontId="5" fillId="0" borderId="94" xfId="0" applyFont="1" applyBorder="1" applyAlignment="1">
      <alignment horizontal="center" vertical="top" wrapText="1"/>
    </xf>
    <xf numFmtId="0" fontId="43" fillId="0" borderId="41" xfId="0" applyFont="1" applyBorder="1" applyAlignment="1">
      <alignment vertical="center" wrapText="1"/>
    </xf>
    <xf numFmtId="0" fontId="43" fillId="0" borderId="21" xfId="0" applyFont="1" applyBorder="1" applyAlignment="1">
      <alignment horizontal="left" vertical="center" wrapText="1"/>
    </xf>
    <xf numFmtId="0" fontId="43" fillId="0" borderId="40" xfId="0" applyFont="1" applyBorder="1" applyAlignment="1">
      <alignment horizontal="left" vertical="center" wrapText="1"/>
    </xf>
    <xf numFmtId="0" fontId="43" fillId="0" borderId="55" xfId="0" applyFont="1" applyBorder="1" applyAlignment="1">
      <alignment vertical="center" wrapText="1"/>
    </xf>
    <xf numFmtId="0" fontId="43" fillId="0" borderId="56" xfId="0" applyFont="1" applyBorder="1" applyAlignment="1">
      <alignment vertical="center" wrapText="1"/>
    </xf>
    <xf numFmtId="0" fontId="5" fillId="3" borderId="1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0" borderId="51" xfId="0" applyFont="1" applyBorder="1" applyAlignment="1">
      <alignment vertical="top" wrapText="1"/>
    </xf>
    <xf numFmtId="0" fontId="5" fillId="0" borderId="52" xfId="0" applyFont="1" applyBorder="1" applyAlignment="1">
      <alignment vertical="top" wrapText="1"/>
    </xf>
    <xf numFmtId="0" fontId="5" fillId="0" borderId="53" xfId="0" applyFont="1" applyBorder="1" applyAlignment="1">
      <alignment vertical="top" wrapText="1"/>
    </xf>
    <xf numFmtId="0" fontId="21" fillId="8" borderId="42" xfId="0" applyFont="1" applyFill="1" applyBorder="1" applyAlignment="1">
      <alignment horizontal="left" vertical="center" wrapText="1"/>
    </xf>
    <xf numFmtId="0" fontId="21" fillId="8" borderId="4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21" fillId="0" borderId="42" xfId="0" applyFont="1" applyBorder="1" applyAlignment="1">
      <alignment vertical="center" wrapText="1"/>
    </xf>
    <xf numFmtId="0" fontId="21" fillId="0" borderId="43" xfId="0" applyFont="1" applyBorder="1" applyAlignment="1">
      <alignment vertical="center" wrapText="1"/>
    </xf>
    <xf numFmtId="0" fontId="11" fillId="0" borderId="33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33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1" fillId="0" borderId="28" xfId="0" applyFont="1" applyBorder="1" applyAlignment="1">
      <alignment horizontal="center" wrapText="1"/>
    </xf>
    <xf numFmtId="0" fontId="17" fillId="0" borderId="31" xfId="0" applyFont="1" applyBorder="1" applyAlignment="1">
      <alignment horizontal="center" wrapText="1"/>
    </xf>
    <xf numFmtId="0" fontId="17" fillId="0" borderId="32" xfId="0" applyFont="1" applyBorder="1" applyAlignment="1">
      <alignment horizontal="center" wrapText="1"/>
    </xf>
    <xf numFmtId="0" fontId="17" fillId="0" borderId="30" xfId="0" applyFont="1" applyBorder="1" applyAlignment="1">
      <alignment horizontal="center" wrapText="1"/>
    </xf>
    <xf numFmtId="0" fontId="17" fillId="0" borderId="27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0" fontId="17" fillId="0" borderId="26" xfId="0" applyFont="1" applyBorder="1" applyAlignment="1">
      <alignment horizontal="center" wrapText="1"/>
    </xf>
    <xf numFmtId="0" fontId="5" fillId="2" borderId="6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left" vertical="center" wrapText="1"/>
    </xf>
    <xf numFmtId="0" fontId="25" fillId="7" borderId="2" xfId="0" applyFont="1" applyFill="1" applyBorder="1" applyAlignment="1">
      <alignment horizontal="left" vertical="center" wrapText="1"/>
    </xf>
    <xf numFmtId="0" fontId="25" fillId="7" borderId="7" xfId="0" applyFont="1" applyFill="1" applyBorder="1" applyAlignment="1">
      <alignment horizontal="left" vertical="center" wrapText="1"/>
    </xf>
    <xf numFmtId="0" fontId="25" fillId="7" borderId="6" xfId="0" applyFont="1" applyFill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top" wrapText="1"/>
    </xf>
    <xf numFmtId="0" fontId="10" fillId="0" borderId="30" xfId="0" applyFont="1" applyBorder="1" applyAlignment="1">
      <alignment horizontal="center" vertical="top" wrapText="1"/>
    </xf>
    <xf numFmtId="0" fontId="10" fillId="0" borderId="37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10" fillId="0" borderId="27" xfId="0" applyFont="1" applyBorder="1" applyAlignment="1">
      <alignment horizontal="center" vertical="top" wrapText="1"/>
    </xf>
    <xf numFmtId="0" fontId="10" fillId="0" borderId="26" xfId="0" applyFont="1" applyBorder="1" applyAlignment="1">
      <alignment horizontal="center" vertical="top" wrapText="1"/>
    </xf>
    <xf numFmtId="0" fontId="10" fillId="0" borderId="31" xfId="0" applyFont="1" applyBorder="1" applyAlignment="1">
      <alignment vertical="top" wrapText="1"/>
    </xf>
    <xf numFmtId="0" fontId="10" fillId="0" borderId="32" xfId="0" applyFont="1" applyBorder="1" applyAlignment="1">
      <alignment vertical="top" wrapText="1"/>
    </xf>
    <xf numFmtId="0" fontId="11" fillId="0" borderId="0" xfId="0" applyFont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37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37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31" fillId="26" borderId="0" xfId="4" applyFont="1" applyFill="1" applyAlignment="1">
      <alignment horizontal="left"/>
    </xf>
    <xf numFmtId="0" fontId="32" fillId="25" borderId="61" xfId="4" applyFont="1" applyFill="1" applyBorder="1" applyAlignment="1">
      <alignment horizontal="center"/>
    </xf>
    <xf numFmtId="0" fontId="32" fillId="0" borderId="80" xfId="4" applyFont="1" applyBorder="1" applyAlignment="1">
      <alignment horizontal="center" vertical="center" wrapText="1"/>
    </xf>
    <xf numFmtId="0" fontId="32" fillId="0" borderId="79" xfId="4" applyFont="1" applyBorder="1" applyAlignment="1">
      <alignment horizontal="center" vertical="center" wrapText="1"/>
    </xf>
    <xf numFmtId="0" fontId="32" fillId="0" borderId="78" xfId="4" applyFont="1" applyBorder="1" applyAlignment="1">
      <alignment horizontal="center" vertical="center" wrapText="1"/>
    </xf>
    <xf numFmtId="0" fontId="32" fillId="0" borderId="61" xfId="4" applyFont="1" applyBorder="1" applyAlignment="1">
      <alignment horizontal="center"/>
    </xf>
    <xf numFmtId="0" fontId="32" fillId="24" borderId="61" xfId="4" applyFont="1" applyFill="1" applyBorder="1" applyAlignment="1">
      <alignment horizontal="center"/>
    </xf>
    <xf numFmtId="0" fontId="32" fillId="11" borderId="80" xfId="4" applyFont="1" applyFill="1" applyBorder="1" applyAlignment="1">
      <alignment horizontal="center" vertical="center" wrapText="1"/>
    </xf>
    <xf numFmtId="0" fontId="32" fillId="11" borderId="79" xfId="4" applyFont="1" applyFill="1" applyBorder="1" applyAlignment="1">
      <alignment horizontal="center" vertical="center" wrapText="1"/>
    </xf>
    <xf numFmtId="0" fontId="32" fillId="11" borderId="78" xfId="4" applyFont="1" applyFill="1" applyBorder="1" applyAlignment="1">
      <alignment horizontal="center" vertical="center" wrapText="1"/>
    </xf>
    <xf numFmtId="169" fontId="3" fillId="17" borderId="61" xfId="4" applyNumberFormat="1" applyFill="1" applyBorder="1" applyAlignment="1">
      <alignment horizontal="center" vertical="center" wrapText="1"/>
    </xf>
    <xf numFmtId="0" fontId="32" fillId="17" borderId="61" xfId="4" applyFont="1" applyFill="1" applyBorder="1" applyAlignment="1">
      <alignment horizontal="center" vertical="center" wrapText="1"/>
    </xf>
    <xf numFmtId="0" fontId="32" fillId="20" borderId="61" xfId="4" applyFont="1" applyFill="1" applyBorder="1" applyAlignment="1">
      <alignment horizontal="center" vertical="center" wrapText="1"/>
    </xf>
    <xf numFmtId="0" fontId="10" fillId="0" borderId="61" xfId="0" applyFont="1" applyBorder="1" applyAlignment="1">
      <alignment horizontal="center"/>
    </xf>
    <xf numFmtId="0" fontId="27" fillId="9" borderId="61" xfId="0" applyFont="1" applyFill="1" applyBorder="1" applyAlignment="1">
      <alignment horizontal="center" vertical="center"/>
    </xf>
    <xf numFmtId="0" fontId="28" fillId="9" borderId="61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vertical="top" wrapText="1"/>
    </xf>
    <xf numFmtId="0" fontId="21" fillId="0" borderId="43" xfId="0" applyFont="1" applyBorder="1" applyAlignment="1">
      <alignment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23" xfId="0" applyFont="1" applyBorder="1" applyAlignment="1">
      <alignment horizontal="left" vertical="top" wrapText="1"/>
    </xf>
    <xf numFmtId="0" fontId="21" fillId="0" borderId="40" xfId="0" applyFont="1" applyBorder="1" applyAlignment="1">
      <alignment horizontal="left" vertical="top" wrapText="1"/>
    </xf>
    <xf numFmtId="0" fontId="21" fillId="0" borderId="45" xfId="0" applyFont="1" applyBorder="1" applyAlignment="1">
      <alignment vertical="top" wrapText="1"/>
    </xf>
    <xf numFmtId="0" fontId="21" fillId="0" borderId="41" xfId="0" applyFont="1" applyBorder="1" applyAlignment="1">
      <alignment vertical="top" wrapText="1"/>
    </xf>
    <xf numFmtId="0" fontId="21" fillId="0" borderId="55" xfId="0" applyFont="1" applyBorder="1" applyAlignment="1">
      <alignment vertical="top" wrapText="1"/>
    </xf>
    <xf numFmtId="0" fontId="21" fillId="0" borderId="56" xfId="0" applyFont="1" applyBorder="1" applyAlignment="1">
      <alignment vertical="top" wrapText="1"/>
    </xf>
    <xf numFmtId="0" fontId="21" fillId="8" borderId="42" xfId="0" applyFont="1" applyFill="1" applyBorder="1" applyAlignment="1">
      <alignment vertical="top" wrapText="1"/>
    </xf>
    <xf numFmtId="0" fontId="21" fillId="8" borderId="43" xfId="0" applyFont="1" applyFill="1" applyBorder="1" applyAlignment="1">
      <alignment vertical="top" wrapText="1"/>
    </xf>
    <xf numFmtId="0" fontId="21" fillId="8" borderId="45" xfId="0" applyFont="1" applyFill="1" applyBorder="1" applyAlignment="1">
      <alignment vertical="top" wrapText="1"/>
    </xf>
    <xf numFmtId="0" fontId="21" fillId="8" borderId="41" xfId="0" applyFont="1" applyFill="1" applyBorder="1" applyAlignment="1">
      <alignment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2" xfId="0" applyFont="1" applyBorder="1" applyAlignment="1">
      <alignment horizontal="left" vertical="top" wrapText="1"/>
    </xf>
    <xf numFmtId="0" fontId="0" fillId="0" borderId="61" xfId="0" applyBorder="1" applyAlignment="1">
      <alignment horizontal="left"/>
    </xf>
    <xf numFmtId="0" fontId="0" fillId="0" borderId="61" xfId="0" applyBorder="1" applyAlignment="1">
      <alignment horizontal="center"/>
    </xf>
    <xf numFmtId="0" fontId="37" fillId="24" borderId="80" xfId="0" applyFont="1" applyFill="1" applyBorder="1" applyAlignment="1">
      <alignment horizontal="center" vertical="center" wrapText="1"/>
    </xf>
    <xf numFmtId="0" fontId="37" fillId="24" borderId="79" xfId="0" applyFont="1" applyFill="1" applyBorder="1" applyAlignment="1">
      <alignment horizontal="center" vertical="center" wrapText="1"/>
    </xf>
    <xf numFmtId="0" fontId="37" fillId="24" borderId="78" xfId="0" applyFont="1" applyFill="1" applyBorder="1" applyAlignment="1">
      <alignment horizontal="center" vertical="center" wrapText="1"/>
    </xf>
    <xf numFmtId="0" fontId="37" fillId="0" borderId="89" xfId="0" applyFont="1" applyBorder="1" applyAlignment="1">
      <alignment horizontal="center" vertical="center" wrapText="1"/>
    </xf>
    <xf numFmtId="0" fontId="37" fillId="0" borderId="90" xfId="0" applyFont="1" applyBorder="1" applyAlignment="1">
      <alignment horizontal="center" vertical="center" wrapText="1"/>
    </xf>
    <xf numFmtId="0" fontId="23" fillId="0" borderId="88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81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0" fontId="23" fillId="0" borderId="86" xfId="0" applyFont="1" applyBorder="1" applyAlignment="1">
      <alignment horizontal="center" vertical="center" wrapText="1"/>
    </xf>
    <xf numFmtId="0" fontId="23" fillId="0" borderId="87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40" fillId="0" borderId="58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5" fontId="14" fillId="0" borderId="21" xfId="0" applyNumberFormat="1" applyFont="1" applyBorder="1" applyAlignment="1">
      <alignment horizontal="center" vertical="center" wrapText="1"/>
    </xf>
    <xf numFmtId="165" fontId="14" fillId="0" borderId="40" xfId="0" applyNumberFormat="1" applyFont="1" applyBorder="1" applyAlignment="1">
      <alignment horizontal="center" vertical="center" wrapText="1"/>
    </xf>
    <xf numFmtId="0" fontId="45" fillId="0" borderId="63" xfId="0" applyFont="1" applyBorder="1" applyAlignment="1">
      <alignment horizontal="left" vertical="center" wrapText="1"/>
    </xf>
    <xf numFmtId="0" fontId="45" fillId="0" borderId="81" xfId="0" applyFont="1" applyBorder="1" applyAlignment="1">
      <alignment horizontal="left" vertical="center" wrapText="1"/>
    </xf>
    <xf numFmtId="0" fontId="45" fillId="0" borderId="57" xfId="0" applyFont="1" applyBorder="1" applyAlignment="1">
      <alignment horizontal="left" vertical="center" wrapText="1"/>
    </xf>
    <xf numFmtId="0" fontId="45" fillId="0" borderId="84" xfId="0" applyFont="1" applyBorder="1" applyAlignment="1">
      <alignment horizontal="left" vertical="center" wrapText="1"/>
    </xf>
    <xf numFmtId="0" fontId="45" fillId="0" borderId="25" xfId="0" applyFont="1" applyBorder="1" applyAlignment="1">
      <alignment horizontal="left" vertical="center" wrapText="1"/>
    </xf>
    <xf numFmtId="0" fontId="45" fillId="0" borderId="85" xfId="0" applyFont="1" applyBorder="1" applyAlignment="1">
      <alignment horizontal="left" vertical="center" wrapText="1"/>
    </xf>
    <xf numFmtId="0" fontId="36" fillId="0" borderId="21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44" fontId="14" fillId="0" borderId="41" xfId="0" applyNumberFormat="1" applyFont="1" applyBorder="1" applyAlignment="1">
      <alignment wrapText="1"/>
    </xf>
    <xf numFmtId="165" fontId="14" fillId="0" borderId="41" xfId="0" applyNumberFormat="1" applyFont="1" applyBorder="1" applyAlignment="1">
      <alignment wrapText="1"/>
    </xf>
    <xf numFmtId="0" fontId="10" fillId="0" borderId="20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17" xfId="0" applyFont="1" applyBorder="1" applyAlignment="1">
      <alignment horizontal="center" wrapText="1"/>
    </xf>
    <xf numFmtId="0" fontId="10" fillId="0" borderId="18" xfId="0" applyFont="1" applyBorder="1" applyAlignment="1">
      <alignment horizontal="right"/>
    </xf>
    <xf numFmtId="0" fontId="10" fillId="0" borderId="23" xfId="0" applyFont="1" applyBorder="1" applyAlignment="1">
      <alignment horizontal="right"/>
    </xf>
    <xf numFmtId="0" fontId="10" fillId="0" borderId="16" xfId="0" applyFont="1" applyBorder="1" applyAlignment="1">
      <alignment horizontal="right"/>
    </xf>
    <xf numFmtId="0" fontId="10" fillId="0" borderId="59" xfId="0" applyFont="1" applyBorder="1" applyAlignment="1">
      <alignment horizontal="right"/>
    </xf>
    <xf numFmtId="0" fontId="20" fillId="0" borderId="31" xfId="0" applyFont="1" applyBorder="1" applyAlignment="1">
      <alignment vertical="top" wrapText="1"/>
    </xf>
    <xf numFmtId="0" fontId="20" fillId="0" borderId="32" xfId="0" applyFont="1" applyBorder="1" applyAlignment="1">
      <alignment vertical="top" wrapText="1"/>
    </xf>
    <xf numFmtId="0" fontId="20" fillId="0" borderId="30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20" fillId="0" borderId="17" xfId="0" applyFont="1" applyBorder="1" applyAlignment="1">
      <alignment vertical="top" wrapText="1"/>
    </xf>
    <xf numFmtId="0" fontId="20" fillId="0" borderId="27" xfId="0" applyFont="1" applyBorder="1" applyAlignment="1">
      <alignment vertical="top" wrapText="1"/>
    </xf>
    <xf numFmtId="0" fontId="20" fillId="0" borderId="29" xfId="0" applyFont="1" applyBorder="1" applyAlignment="1">
      <alignment vertical="top" wrapText="1"/>
    </xf>
    <xf numFmtId="0" fontId="20" fillId="0" borderId="26" xfId="0" applyFont="1" applyBorder="1" applyAlignment="1">
      <alignment vertical="top" wrapText="1"/>
    </xf>
    <xf numFmtId="0" fontId="10" fillId="0" borderId="30" xfId="0" applyFont="1" applyBorder="1" applyAlignment="1">
      <alignment vertical="top" wrapText="1"/>
    </xf>
    <xf numFmtId="0" fontId="17" fillId="0" borderId="0" xfId="0" applyFont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7" fillId="0" borderId="29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17" xfId="0" applyFont="1" applyBorder="1" applyAlignment="1">
      <alignment horizont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wrapText="1"/>
    </xf>
    <xf numFmtId="0" fontId="10" fillId="6" borderId="32" xfId="0" applyFont="1" applyFill="1" applyBorder="1" applyAlignment="1">
      <alignment horizontal="center" wrapText="1"/>
    </xf>
    <xf numFmtId="0" fontId="10" fillId="6" borderId="30" xfId="0" applyFont="1" applyFill="1" applyBorder="1" applyAlignment="1">
      <alignment horizontal="center" wrapText="1"/>
    </xf>
    <xf numFmtId="0" fontId="15" fillId="7" borderId="36" xfId="0" applyFont="1" applyFill="1" applyBorder="1" applyAlignment="1">
      <alignment horizontal="center" vertical="center" wrapText="1"/>
    </xf>
    <xf numFmtId="0" fontId="15" fillId="7" borderId="35" xfId="0" applyFont="1" applyFill="1" applyBorder="1" applyAlignment="1">
      <alignment horizontal="center" vertical="center" wrapText="1"/>
    </xf>
    <xf numFmtId="0" fontId="15" fillId="7" borderId="34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wrapText="1"/>
    </xf>
    <xf numFmtId="0" fontId="10" fillId="6" borderId="28" xfId="0" applyFont="1" applyFill="1" applyBorder="1" applyAlignment="1">
      <alignment wrapText="1"/>
    </xf>
    <xf numFmtId="0" fontId="10" fillId="6" borderId="33" xfId="0" applyFont="1" applyFill="1" applyBorder="1" applyAlignment="1">
      <alignment horizontal="center" vertical="center" wrapText="1"/>
    </xf>
    <xf numFmtId="0" fontId="10" fillId="6" borderId="39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0" fillId="6" borderId="17" xfId="0" applyFont="1" applyFill="1" applyBorder="1" applyAlignment="1">
      <alignment horizontal="center" wrapText="1"/>
    </xf>
    <xf numFmtId="0" fontId="10" fillId="6" borderId="58" xfId="0" applyFont="1" applyFill="1" applyBorder="1" applyAlignment="1">
      <alignment horizontal="center" vertical="top" wrapText="1"/>
    </xf>
    <xf numFmtId="0" fontId="10" fillId="6" borderId="96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42" fillId="0" borderId="14" xfId="0" applyFont="1" applyBorder="1" applyAlignment="1">
      <alignment horizontal="left" vertical="center" wrapText="1"/>
    </xf>
    <xf numFmtId="0" fontId="42" fillId="0" borderId="82" xfId="0" applyFont="1" applyBorder="1" applyAlignment="1">
      <alignment horizontal="left" vertical="center" wrapText="1"/>
    </xf>
    <xf numFmtId="0" fontId="42" fillId="0" borderId="42" xfId="0" applyFont="1" applyBorder="1" applyAlignment="1">
      <alignment horizontal="left" vertical="center" wrapText="1"/>
    </xf>
    <xf numFmtId="0" fontId="42" fillId="0" borderId="43" xfId="0" applyFont="1" applyBorder="1" applyAlignment="1">
      <alignment horizontal="left" vertical="center" wrapText="1"/>
    </xf>
    <xf numFmtId="0" fontId="41" fillId="0" borderId="42" xfId="0" applyFont="1" applyBorder="1" applyAlignment="1">
      <alignment vertical="center" wrapText="1"/>
    </xf>
    <xf numFmtId="0" fontId="41" fillId="0" borderId="43" xfId="0" applyFont="1" applyBorder="1" applyAlignment="1">
      <alignment vertical="center" wrapText="1"/>
    </xf>
    <xf numFmtId="0" fontId="43" fillId="0" borderId="41" xfId="0" applyFont="1" applyBorder="1" applyAlignment="1">
      <alignment vertical="top" wrapText="1"/>
    </xf>
    <xf numFmtId="0" fontId="43" fillId="0" borderId="55" xfId="0" applyFont="1" applyBorder="1" applyAlignment="1">
      <alignment vertical="top" wrapText="1"/>
    </xf>
    <xf numFmtId="0" fontId="43" fillId="0" borderId="56" xfId="0" applyFont="1" applyBorder="1" applyAlignment="1">
      <alignment vertical="top" wrapText="1"/>
    </xf>
    <xf numFmtId="0" fontId="43" fillId="0" borderId="23" xfId="0" applyFont="1" applyBorder="1" applyAlignment="1">
      <alignment horizontal="left" vertical="top" wrapText="1"/>
    </xf>
    <xf numFmtId="0" fontId="43" fillId="0" borderId="40" xfId="0" applyFont="1" applyBorder="1" applyAlignment="1">
      <alignment horizontal="left" vertical="top" wrapText="1"/>
    </xf>
  </cellXfs>
  <cellStyles count="13">
    <cellStyle name="Millares 2 2" xfId="6" xr:uid="{4E357B96-DB49-4225-ADC2-B191054C3783}"/>
    <cellStyle name="Moneda" xfId="1" builtinId="4"/>
    <cellStyle name="Moneda 2" xfId="2" xr:uid="{00000000-0005-0000-0000-000001000000}"/>
    <cellStyle name="Moneda 3" xfId="8" xr:uid="{E43A0804-10C1-4835-86DB-E4389D0987D1}"/>
    <cellStyle name="Normal" xfId="0" builtinId="0"/>
    <cellStyle name="Normal 2" xfId="3" xr:uid="{A91BE424-07DC-4095-8493-308BFBF5E1C1}"/>
    <cellStyle name="Normal 2 3" xfId="7" xr:uid="{9171C641-198B-4AB4-917E-FF7FB1413E81}"/>
    <cellStyle name="Normal 3" xfId="4" xr:uid="{949126D2-FB4A-4A53-8D34-B16A0CF5D689}"/>
    <cellStyle name="Normal 4" xfId="9" xr:uid="{D56D67AB-0BB4-4471-958D-6A979F53F167}"/>
    <cellStyle name="Normal 4 2" xfId="11" xr:uid="{A3A65E61-C490-47A5-9A43-A5F5A9807DCB}"/>
    <cellStyle name="Porcentaje 2" xfId="5" xr:uid="{38BF7D97-2A66-4C41-8ADF-95D91CB17853}"/>
    <cellStyle name="Porcentaje 3" xfId="10" xr:uid="{1005092D-0AFB-46BB-891D-B7C551CA134E}"/>
    <cellStyle name="Porcentaje 3 2" xfId="12" xr:uid="{C6971A55-F186-4086-8752-A2229A135A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</xdr:colOff>
      <xdr:row>1</xdr:row>
      <xdr:rowOff>14111</xdr:rowOff>
    </xdr:from>
    <xdr:to>
      <xdr:col>1</xdr:col>
      <xdr:colOff>797277</xdr:colOff>
      <xdr:row>3</xdr:row>
      <xdr:rowOff>105834</xdr:rowOff>
    </xdr:to>
    <xdr:pic>
      <xdr:nvPicPr>
        <xdr:cNvPr id="4" name="Imagen 3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8D09330B-66E2-48E2-B809-AA12E567CD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3" y="176389"/>
          <a:ext cx="1552222" cy="479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14111</xdr:colOff>
      <xdr:row>1</xdr:row>
      <xdr:rowOff>42333</xdr:rowOff>
    </xdr:from>
    <xdr:to>
      <xdr:col>1</xdr:col>
      <xdr:colOff>769055</xdr:colOff>
      <xdr:row>3</xdr:row>
      <xdr:rowOff>134056</xdr:rowOff>
    </xdr:to>
    <xdr:pic>
      <xdr:nvPicPr>
        <xdr:cNvPr id="4" name="Imagen 3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7D2BFC3D-10BD-47A8-BEC0-AEB8029686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" y="204611"/>
          <a:ext cx="1552222" cy="4797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14111</xdr:colOff>
      <xdr:row>0</xdr:row>
      <xdr:rowOff>162277</xdr:rowOff>
    </xdr:from>
    <xdr:to>
      <xdr:col>1</xdr:col>
      <xdr:colOff>769055</xdr:colOff>
      <xdr:row>3</xdr:row>
      <xdr:rowOff>91722</xdr:rowOff>
    </xdr:to>
    <xdr:pic>
      <xdr:nvPicPr>
        <xdr:cNvPr id="4" name="Imagen 3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320AF291-6A3F-49B3-A021-C59A5A9DFA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" y="162277"/>
          <a:ext cx="1552222" cy="4797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49389</xdr:rowOff>
    </xdr:from>
    <xdr:to>
      <xdr:col>1</xdr:col>
      <xdr:colOff>754944</xdr:colOff>
      <xdr:row>3</xdr:row>
      <xdr:rowOff>141112</xdr:rowOff>
    </xdr:to>
    <xdr:pic>
      <xdr:nvPicPr>
        <xdr:cNvPr id="4" name="Imagen 3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FFCBC44E-15E1-4443-931F-84AA841B03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67"/>
          <a:ext cx="1552222" cy="4797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117929</xdr:colOff>
      <xdr:row>0</xdr:row>
      <xdr:rowOff>99786</xdr:rowOff>
    </xdr:from>
    <xdr:to>
      <xdr:col>2</xdr:col>
      <xdr:colOff>562429</xdr:colOff>
      <xdr:row>3</xdr:row>
      <xdr:rowOff>63500</xdr:rowOff>
    </xdr:to>
    <xdr:pic>
      <xdr:nvPicPr>
        <xdr:cNvPr id="3" name="Imagen 2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B513E02B-F6F4-4273-AE72-B27A805E3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29" y="99786"/>
          <a:ext cx="2095500" cy="5352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70556</xdr:colOff>
      <xdr:row>1</xdr:row>
      <xdr:rowOff>28222</xdr:rowOff>
    </xdr:from>
    <xdr:to>
      <xdr:col>1</xdr:col>
      <xdr:colOff>825500</xdr:colOff>
      <xdr:row>3</xdr:row>
      <xdr:rowOff>119945</xdr:rowOff>
    </xdr:to>
    <xdr:pic>
      <xdr:nvPicPr>
        <xdr:cNvPr id="3" name="Imagen 2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6DE38B6B-1AD9-438D-B1AA-CA7D2CF6D8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56" y="190500"/>
          <a:ext cx="1552222" cy="4797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70556</xdr:colOff>
      <xdr:row>1</xdr:row>
      <xdr:rowOff>28222</xdr:rowOff>
    </xdr:from>
    <xdr:to>
      <xdr:col>1</xdr:col>
      <xdr:colOff>825500</xdr:colOff>
      <xdr:row>3</xdr:row>
      <xdr:rowOff>119945</xdr:rowOff>
    </xdr:to>
    <xdr:pic>
      <xdr:nvPicPr>
        <xdr:cNvPr id="2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FE205F31-187F-4383-B7EE-24D5BDFC90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56" y="193322"/>
          <a:ext cx="1555044" cy="4790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70556</xdr:colOff>
      <xdr:row>1</xdr:row>
      <xdr:rowOff>28222</xdr:rowOff>
    </xdr:from>
    <xdr:to>
      <xdr:col>1</xdr:col>
      <xdr:colOff>825500</xdr:colOff>
      <xdr:row>3</xdr:row>
      <xdr:rowOff>119945</xdr:rowOff>
    </xdr:to>
    <xdr:pic>
      <xdr:nvPicPr>
        <xdr:cNvPr id="2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3214F57B-23F0-4710-B365-429B102EA7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56" y="193322"/>
          <a:ext cx="1555044" cy="4790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28222</xdr:colOff>
      <xdr:row>1</xdr:row>
      <xdr:rowOff>7056</xdr:rowOff>
    </xdr:from>
    <xdr:to>
      <xdr:col>1</xdr:col>
      <xdr:colOff>783166</xdr:colOff>
      <xdr:row>3</xdr:row>
      <xdr:rowOff>98779</xdr:rowOff>
    </xdr:to>
    <xdr:pic>
      <xdr:nvPicPr>
        <xdr:cNvPr id="3" name="Imagen 2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8E9BC465-4CE3-47CC-841E-884CBBAFC9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2" y="169334"/>
          <a:ext cx="1552222" cy="4797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28222</xdr:colOff>
      <xdr:row>1</xdr:row>
      <xdr:rowOff>7056</xdr:rowOff>
    </xdr:from>
    <xdr:to>
      <xdr:col>1</xdr:col>
      <xdr:colOff>783166</xdr:colOff>
      <xdr:row>3</xdr:row>
      <xdr:rowOff>98779</xdr:rowOff>
    </xdr:to>
    <xdr:pic>
      <xdr:nvPicPr>
        <xdr:cNvPr id="2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BC750045-4636-4B32-96A8-E03CD1E1BF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2" y="172156"/>
          <a:ext cx="1555044" cy="4790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28222</xdr:colOff>
      <xdr:row>1</xdr:row>
      <xdr:rowOff>7056</xdr:rowOff>
    </xdr:from>
    <xdr:to>
      <xdr:col>1</xdr:col>
      <xdr:colOff>783166</xdr:colOff>
      <xdr:row>3</xdr:row>
      <xdr:rowOff>98779</xdr:rowOff>
    </xdr:to>
    <xdr:pic>
      <xdr:nvPicPr>
        <xdr:cNvPr id="2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2FAA33D4-8840-4F01-8B49-E6E8A3DEA6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2" y="172156"/>
          <a:ext cx="1555044" cy="4790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28222</xdr:colOff>
      <xdr:row>1</xdr:row>
      <xdr:rowOff>7056</xdr:rowOff>
    </xdr:from>
    <xdr:to>
      <xdr:col>1</xdr:col>
      <xdr:colOff>783166</xdr:colOff>
      <xdr:row>3</xdr:row>
      <xdr:rowOff>98779</xdr:rowOff>
    </xdr:to>
    <xdr:pic>
      <xdr:nvPicPr>
        <xdr:cNvPr id="2" name="Imagen 1" descr="Imagen que contiene firmar, parada, naranja, alimentos&#10;&#10;Descripción generada automáticamente">
          <a:extLst>
            <a:ext uri="{FF2B5EF4-FFF2-40B4-BE49-F238E27FC236}">
              <a16:creationId xmlns:a16="http://schemas.microsoft.com/office/drawing/2014/main" id="{9A25BC98-E4BC-4CF8-8998-CFF3119481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2" y="172156"/>
          <a:ext cx="1555044" cy="4790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femex.sharepoint.com/sites/ICMsGRTC-DTNuevo2024/Shared%20Documents/General/2024/GRTC-0354-2024%20ICM%20024%20EDIF.%20Z.T.%20GRO%20REV6/01%20ICM/ANEXOS/ANEXO%2021/Anexo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femex.sharepoint.com/sites/ICMsGRTC-DTNuevo2024/Shared%20Documents/General/2024/GRTC-0354-2024%20ICM%20024%20EDIF.%20Z.T.%20GRO%20REV6/01%20ICM/ANEXOS/ANEXO%2019/Anexo%201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EODATA2021/Documentos/Costos%20Horarios/CostoHorarioCFE.xls" TargetMode="External"/><Relationship Id="rId1" Type="http://schemas.openxmlformats.org/officeDocument/2006/relationships/externalLinkPath" Target="/NEODATA2021/Documentos/Costos%20Horarios/CostoHorarioCF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so%20precios%20unitarios\Sobrecosto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EODATA2021/Documentos/Pie%20de%20Indirectos/Indirectos%20Con%20Cargo%20Adicional%20Global%20x%20Costo%20Directo.xls" TargetMode="External"/><Relationship Id="rId1" Type="http://schemas.openxmlformats.org/officeDocument/2006/relationships/externalLinkPath" Target="/NEODATA2021/Documentos/Pie%20de%20Indirectos/Indirectos%20Con%20Cargo%20Adicional%20Global%20x%20Costo%20Direct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femex.sharepoint.com/sites/ICMsGRTC-DTNuevo2024/Shared%20Documents/General/2024/GRTC-0354-2024%20ICM%20024%20EDIF.%20Z.T.%20GRO%20REV6/01%20ICM/ANEXOS/ANEXO%2023/Anexo%202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EODATA2021/Documentos/FASAR/FASAR_CFE_UMA_NR.xls" TargetMode="External"/><Relationship Id="rId1" Type="http://schemas.openxmlformats.org/officeDocument/2006/relationships/externalLinkPath" Target="/NEODATA2021/Documentos/FASAR/FASAR_CFE_UMA_N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mletras\numletra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_Campos Generales"/>
      <sheetName val="DatosObra"/>
      <sheetName val="Programa"/>
      <sheetName val="a)Plantilla"/>
      <sheetName val="b)Indirectos Desglosados"/>
      <sheetName val="c)Resumen Indirectos"/>
      <sheetName val="d)Financ_Horizontal"/>
      <sheetName val="e)Pers.Técnico$"/>
      <sheetName val="f)Financiamiento"/>
      <sheetName val="g)Utilidad"/>
      <sheetName val="h)Cargos_Adicionales"/>
      <sheetName val="i)Resumen"/>
      <sheetName val="d)Pers.Técnico"/>
    </sheetNames>
    <sheetDataSet>
      <sheetData sheetId="0">
        <row r="45">
          <cell r="C45">
            <v>45418</v>
          </cell>
        </row>
        <row r="46">
          <cell r="C46">
            <v>45627</v>
          </cell>
        </row>
        <row r="51">
          <cell r="C51">
            <v>210</v>
          </cell>
        </row>
      </sheetData>
      <sheetData sheetId="1">
        <row r="8">
          <cell r="E8">
            <v>11.499000000000001</v>
          </cell>
        </row>
        <row r="9">
          <cell r="E9">
            <v>0</v>
          </cell>
        </row>
        <row r="10">
          <cell r="E10" t="str">
            <v>TIIE</v>
          </cell>
        </row>
        <row r="34">
          <cell r="E34">
            <v>2</v>
          </cell>
        </row>
        <row r="46">
          <cell r="E46">
            <v>0</v>
          </cell>
        </row>
        <row r="53">
          <cell r="E53">
            <v>51</v>
          </cell>
        </row>
        <row r="56">
          <cell r="E56">
            <v>5</v>
          </cell>
        </row>
        <row r="90">
          <cell r="D90">
            <v>26658429.16</v>
          </cell>
        </row>
        <row r="99">
          <cell r="D99">
            <v>19</v>
          </cell>
        </row>
        <row r="105">
          <cell r="F105">
            <v>7997528.75</v>
          </cell>
        </row>
      </sheetData>
      <sheetData sheetId="2">
        <row r="5">
          <cell r="G5">
            <v>366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_Campos Generales"/>
      <sheetName val="DatosObra"/>
      <sheetName val="Programa"/>
      <sheetName val="a)Plantilla"/>
      <sheetName val="b)Indirectos Desglosados"/>
      <sheetName val="c)Resumen Indirectos"/>
      <sheetName val="d)Financ_Horizontal"/>
      <sheetName val="e)Pers.Técnico$"/>
      <sheetName val="f)Financiamiento"/>
      <sheetName val="g)Utilidad"/>
      <sheetName val="h)Cargos_Adicionales"/>
      <sheetName val="i)Resumen"/>
      <sheetName val="d)Pers.Técnico"/>
    </sheetNames>
    <sheetDataSet>
      <sheetData sheetId="0" refreshError="1">
        <row r="6">
          <cell r="C6" t="str">
            <v>CFE TRANSMISIÓN</v>
          </cell>
        </row>
        <row r="17">
          <cell r="C17" t="str">
            <v>Ing. Jonathan Jesús Alatriste Sánchez</v>
          </cell>
        </row>
        <row r="18">
          <cell r="C18" t="str">
            <v>Jefe de Oficina Regional de Ingeniería Civil</v>
          </cell>
        </row>
        <row r="21">
          <cell r="C21" t="str">
            <v>Gerencia Regional de Transmisión Central</v>
          </cell>
        </row>
        <row r="22">
          <cell r="C22" t="str">
            <v>Subgerencia de MyPS</v>
          </cell>
        </row>
        <row r="35">
          <cell r="C35" t="str">
            <v>Construcción de edificio técnico-administrativo de la Zona de Transmisión Guerrero perteneciente a la GRTCE</v>
          </cell>
        </row>
      </sheetData>
      <sheetData sheetId="1" refreshError="1">
        <row r="3">
          <cell r="E3">
            <v>23021095.989999998</v>
          </cell>
        </row>
        <row r="21">
          <cell r="E21">
            <v>1</v>
          </cell>
        </row>
        <row r="76">
          <cell r="D76">
            <v>0</v>
          </cell>
        </row>
        <row r="77">
          <cell r="D77">
            <v>0</v>
          </cell>
        </row>
        <row r="82">
          <cell r="D82">
            <v>0</v>
          </cell>
          <cell r="E82">
            <v>0</v>
          </cell>
        </row>
        <row r="83">
          <cell r="D83">
            <v>0</v>
          </cell>
        </row>
        <row r="105">
          <cell r="B105">
            <v>0.3</v>
          </cell>
        </row>
      </sheetData>
      <sheetData sheetId="2" refreshError="1"/>
      <sheetData sheetId="3" refreshError="1">
        <row r="34">
          <cell r="A34">
            <v>972000</v>
          </cell>
        </row>
        <row r="41">
          <cell r="A41">
            <v>504000</v>
          </cell>
        </row>
        <row r="50">
          <cell r="A50">
            <v>791808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_Campos Generales"/>
      <sheetName val="N_Campos Especificos"/>
      <sheetName val="Estandar"/>
    </sheetNames>
    <sheetDataSet>
      <sheetData sheetId="0">
        <row r="5">
          <cell r="C5" t="str">
            <v>Neodata, S.A. de C.V.</v>
          </cell>
        </row>
        <row r="31">
          <cell r="C31" t="str">
            <v>2009/0257-0001</v>
          </cell>
        </row>
      </sheetData>
      <sheetData sheetId="1">
        <row r="4">
          <cell r="I4">
            <v>1</v>
          </cell>
          <cell r="J4">
            <v>0.15</v>
          </cell>
          <cell r="L4" t="str">
            <v>a).- DEPRECIACION.......D =(Vm-Vr)/Ve</v>
          </cell>
          <cell r="N4" t="str">
            <v>($1,460,000.-$146,000.)/600,000.00</v>
          </cell>
          <cell r="O4">
            <v>2.19</v>
          </cell>
          <cell r="P4">
            <v>2.19</v>
          </cell>
          <cell r="Q4">
            <v>0.33</v>
          </cell>
        </row>
        <row r="5">
          <cell r="D5">
            <v>25000</v>
          </cell>
          <cell r="I5">
            <v>1</v>
          </cell>
          <cell r="J5">
            <v>1</v>
          </cell>
          <cell r="L5" t="str">
            <v>b).- INVERSION…..........lm = (Vm+Vr)*i/2Hea</v>
          </cell>
          <cell r="N5" t="str">
            <v>($1,460,000.+$146,000.)x12.0000 %/(2x2920)</v>
          </cell>
          <cell r="O5">
            <v>33</v>
          </cell>
          <cell r="P5">
            <v>33</v>
          </cell>
          <cell r="Q5">
            <v>33</v>
          </cell>
        </row>
        <row r="6">
          <cell r="D6">
            <v>15000</v>
          </cell>
          <cell r="I6">
            <v>1</v>
          </cell>
          <cell r="J6">
            <v>1</v>
          </cell>
          <cell r="L6" t="str">
            <v>c).- SEGUROS………....Sm = (Vm+Vr)*s/2Hea</v>
          </cell>
          <cell r="N6" t="str">
            <v>($1,460,000.00+$146,000.00)x4.00 %/(2x2920)</v>
          </cell>
          <cell r="O6">
            <v>11</v>
          </cell>
          <cell r="P6">
            <v>11</v>
          </cell>
          <cell r="Q6">
            <v>11</v>
          </cell>
        </row>
        <row r="7">
          <cell r="D7">
            <v>8760</v>
          </cell>
          <cell r="I7">
            <v>0</v>
          </cell>
          <cell r="J7">
            <v>0.15</v>
          </cell>
          <cell r="L7" t="str">
            <v>d).- MANTENIMIENTO.....M = Ko*D</v>
          </cell>
          <cell r="O7">
            <v>1.75</v>
          </cell>
          <cell r="P7">
            <v>0</v>
          </cell>
          <cell r="Q7">
            <v>0.26</v>
          </cell>
        </row>
        <row r="8">
          <cell r="D8">
            <v>15000</v>
          </cell>
          <cell r="I8">
            <v>0.05</v>
          </cell>
          <cell r="J8">
            <v>0</v>
          </cell>
          <cell r="L8" t="str">
            <v>a). COMBUSTIBLE….…..Co=Fc*Pop*Pc</v>
          </cell>
          <cell r="N8" t="str">
            <v>1x0.134x $25</v>
          </cell>
          <cell r="O8">
            <v>3.35</v>
          </cell>
          <cell r="P8">
            <v>0.17</v>
          </cell>
          <cell r="Q8">
            <v>0</v>
          </cell>
        </row>
        <row r="9">
          <cell r="D9">
            <v>1825</v>
          </cell>
          <cell r="I9">
            <v>0.05</v>
          </cell>
          <cell r="J9">
            <v>0</v>
          </cell>
          <cell r="L9" t="str">
            <v>c). Lubricante…………....Lb=[(Fa*Pop)+CC/Ca]*Pa</v>
          </cell>
          <cell r="N9" t="str">
            <v>[(0.0075x0.134)+10/182.5] x $80lt</v>
          </cell>
          <cell r="O9">
            <v>4.46</v>
          </cell>
          <cell r="P9">
            <v>0.22</v>
          </cell>
          <cell r="Q9">
            <v>0</v>
          </cell>
          <cell r="X9">
            <v>500</v>
          </cell>
          <cell r="AI9">
            <v>0</v>
          </cell>
        </row>
        <row r="10">
          <cell r="E10">
            <v>1460000</v>
          </cell>
          <cell r="I10">
            <v>0.15</v>
          </cell>
          <cell r="J10">
            <v>0</v>
          </cell>
          <cell r="L10" t="str">
            <v>d). Llantas………….…....N=Pn/Vn</v>
          </cell>
          <cell r="N10" t="str">
            <v>$25,000.00/8,760</v>
          </cell>
          <cell r="O10">
            <v>2.85</v>
          </cell>
          <cell r="P10">
            <v>0.43</v>
          </cell>
          <cell r="Q10">
            <v>0</v>
          </cell>
        </row>
        <row r="11">
          <cell r="D11">
            <v>100</v>
          </cell>
          <cell r="I11">
            <v>0</v>
          </cell>
          <cell r="J11">
            <v>0</v>
          </cell>
          <cell r="L11" t="str">
            <v>e). Piezas Especiales…...Ae=Pe/Va</v>
          </cell>
          <cell r="N11" t="str">
            <v>$15,000/1,825</v>
          </cell>
          <cell r="O11">
            <v>8.2200000000000006</v>
          </cell>
          <cell r="P11">
            <v>0</v>
          </cell>
          <cell r="Q11">
            <v>0</v>
          </cell>
        </row>
        <row r="12">
          <cell r="D12">
            <v>1.34E-3</v>
          </cell>
          <cell r="I12">
            <v>1</v>
          </cell>
          <cell r="J12">
            <v>1</v>
          </cell>
          <cell r="L12" t="str">
            <v>b).-Otras Fuentes de Energia</v>
          </cell>
          <cell r="N12" t="str">
            <v>$.00 * 0</v>
          </cell>
          <cell r="O12">
            <v>0</v>
          </cell>
          <cell r="P12">
            <v>0</v>
          </cell>
          <cell r="Q12">
            <v>0</v>
          </cell>
        </row>
        <row r="13">
          <cell r="E13">
            <v>0.13400000000000001</v>
          </cell>
          <cell r="I13">
            <v>0.05</v>
          </cell>
          <cell r="J13">
            <v>0</v>
          </cell>
        </row>
        <row r="15">
          <cell r="O15">
            <v>18.880000000000003</v>
          </cell>
        </row>
        <row r="16">
          <cell r="D16">
            <v>1</v>
          </cell>
        </row>
        <row r="17">
          <cell r="L17" t="str">
            <v>Po=S/Ht</v>
          </cell>
          <cell r="O17">
            <v>500</v>
          </cell>
          <cell r="P17">
            <v>500</v>
          </cell>
          <cell r="Q17">
            <v>500</v>
          </cell>
        </row>
        <row r="18">
          <cell r="E18" t="str">
            <v>1</v>
          </cell>
        </row>
        <row r="20">
          <cell r="D20" t="str">
            <v>GASOLINA</v>
          </cell>
        </row>
        <row r="21">
          <cell r="D21">
            <v>25</v>
          </cell>
        </row>
        <row r="23">
          <cell r="D23">
            <v>80</v>
          </cell>
        </row>
        <row r="25">
          <cell r="D25">
            <v>1</v>
          </cell>
        </row>
        <row r="26">
          <cell r="D26">
            <v>7.4999999999999997E-3</v>
          </cell>
        </row>
        <row r="27">
          <cell r="D27">
            <v>10</v>
          </cell>
        </row>
        <row r="28">
          <cell r="D28">
            <v>182.5</v>
          </cell>
        </row>
        <row r="29">
          <cell r="E29">
            <v>5.4800000000000001E-2</v>
          </cell>
        </row>
        <row r="34">
          <cell r="E34">
            <v>5</v>
          </cell>
        </row>
        <row r="35">
          <cell r="D35">
            <v>2920</v>
          </cell>
        </row>
        <row r="36">
          <cell r="D36">
            <v>600000</v>
          </cell>
        </row>
        <row r="37">
          <cell r="D37">
            <v>0.1</v>
          </cell>
          <cell r="E37">
            <v>146000</v>
          </cell>
        </row>
        <row r="39">
          <cell r="D39">
            <v>0.04</v>
          </cell>
        </row>
        <row r="40">
          <cell r="D40">
            <v>0.8</v>
          </cell>
        </row>
        <row r="41">
          <cell r="C41" t="str">
            <v>Cetes a 28 dias del 14/sep/2009</v>
          </cell>
        </row>
        <row r="42">
          <cell r="C42" t="str">
            <v>Tasa de Seguros America del 14/sep/2009</v>
          </cell>
        </row>
        <row r="54">
          <cell r="E54">
            <v>47.94</v>
          </cell>
        </row>
        <row r="55">
          <cell r="E55">
            <v>46.19</v>
          </cell>
        </row>
        <row r="56">
          <cell r="E56">
            <v>44.59</v>
          </cell>
        </row>
        <row r="57">
          <cell r="E57">
            <v>566.82000000000005</v>
          </cell>
        </row>
        <row r="58">
          <cell r="E58">
            <v>547.01</v>
          </cell>
        </row>
        <row r="59">
          <cell r="E59">
            <v>544.59</v>
          </cell>
        </row>
        <row r="81">
          <cell r="D81" t="str">
            <v>EQPETRO01</v>
          </cell>
        </row>
        <row r="82">
          <cell r="D82" t="str">
            <v>PETROLIZADORA  DE 8000 LT.  DE 155 HP, MOTOR VAM MOD.6558  BOMBA 756 LPM BARRA 3.66 M SIN CHASIS.</v>
          </cell>
        </row>
        <row r="83">
          <cell r="D83" t="str">
            <v>P-2009-1</v>
          </cell>
        </row>
        <row r="84">
          <cell r="D84" t="str">
            <v>WSQ445757-SDE445</v>
          </cell>
        </row>
        <row r="85">
          <cell r="D85" t="str">
            <v>8000 L</v>
          </cell>
        </row>
        <row r="86">
          <cell r="D86">
            <v>1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C001"/>
      <sheetName val="C002"/>
      <sheetName val="C003"/>
      <sheetName val="C004"/>
      <sheetName val="MO001 "/>
      <sheetName val="MO002"/>
      <sheetName val="MO003"/>
      <sheetName val="MO004"/>
      <sheetName val="MO005"/>
      <sheetName val="MO006"/>
      <sheetName val="prestaciones"/>
      <sheetName val="Indirectos"/>
      <sheetName val="Financiamiento"/>
      <sheetName val="Utilidad"/>
      <sheetName val="Cargos Adicionales"/>
      <sheetName val="1) FSBC"/>
      <sheetName val="2) FST"/>
      <sheetName val="Invalidez y vida NR"/>
      <sheetName val="formulario"/>
      <sheetName val="CHO1"/>
      <sheetName val="CH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H15">
            <v>1.4645390070921986</v>
          </cell>
        </row>
        <row r="16">
          <cell r="H16">
            <v>1.1315068493150684</v>
          </cell>
        </row>
      </sheetData>
      <sheetData sheetId="17"/>
      <sheetData sheetId="18">
        <row r="1">
          <cell r="C1">
            <v>2023</v>
          </cell>
          <cell r="D1">
            <v>2024</v>
          </cell>
          <cell r="E1">
            <v>2025</v>
          </cell>
          <cell r="F1">
            <v>2026</v>
          </cell>
          <cell r="G1">
            <v>2027</v>
          </cell>
          <cell r="H1">
            <v>2028</v>
          </cell>
          <cell r="I1">
            <v>2029</v>
          </cell>
          <cell r="J1">
            <v>2030</v>
          </cell>
        </row>
        <row r="2"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>
            <v>1</v>
          </cell>
          <cell r="B3" t="str">
            <v>1.0 SM</v>
          </cell>
          <cell r="C3">
            <v>3.15E-2</v>
          </cell>
          <cell r="D3">
            <v>3.15E-2</v>
          </cell>
          <cell r="E3">
            <v>3.15E-2</v>
          </cell>
          <cell r="F3">
            <v>3.15E-2</v>
          </cell>
          <cell r="G3">
            <v>3.15E-2</v>
          </cell>
          <cell r="H3">
            <v>3.15E-2</v>
          </cell>
          <cell r="I3">
            <v>3.15E-2</v>
          </cell>
          <cell r="J3">
            <v>3.15E-2</v>
          </cell>
        </row>
        <row r="4">
          <cell r="A4">
            <v>2</v>
          </cell>
          <cell r="B4" t="str">
            <v>1.01 SM a 1.50 UMA</v>
          </cell>
          <cell r="C4">
            <v>3.2809999999999999E-2</v>
          </cell>
          <cell r="D4">
            <v>3.4130000000000001E-2</v>
          </cell>
          <cell r="E4">
            <v>3.5439999999999999E-2</v>
          </cell>
          <cell r="F4">
            <v>3.6760000000000001E-2</v>
          </cell>
          <cell r="G4">
            <v>3.807E-2</v>
          </cell>
          <cell r="H4">
            <v>3.9390000000000001E-2</v>
          </cell>
          <cell r="I4">
            <v>4.07E-2</v>
          </cell>
          <cell r="J4">
            <v>4.2020000000000002E-2</v>
          </cell>
        </row>
        <row r="5">
          <cell r="A5">
            <v>3</v>
          </cell>
          <cell r="B5" t="str">
            <v>1.51 a 2.00 UMA</v>
          </cell>
          <cell r="C5">
            <v>3.5749999999999997E-2</v>
          </cell>
          <cell r="D5">
            <v>0.04</v>
          </cell>
          <cell r="E5">
            <v>4.4260000000000001E-2</v>
          </cell>
          <cell r="F5">
            <v>4.8509999999999998E-2</v>
          </cell>
          <cell r="G5">
            <v>5.2760000000000001E-2</v>
          </cell>
          <cell r="H5">
            <v>5.7009999999999998E-2</v>
          </cell>
          <cell r="I5">
            <v>6.1260000000000002E-2</v>
          </cell>
          <cell r="J5">
            <v>6.5519999999999995E-2</v>
          </cell>
        </row>
        <row r="6">
          <cell r="A6">
            <v>4</v>
          </cell>
          <cell r="B6" t="str">
            <v>2.01 a 2.50 UMA</v>
          </cell>
          <cell r="C6">
            <v>3.7510000000000002E-2</v>
          </cell>
          <cell r="D6">
            <v>4.3529999999999999E-2</v>
          </cell>
          <cell r="E6">
            <v>4.9540000000000001E-2</v>
          </cell>
          <cell r="F6">
            <v>5.5559999999999998E-2</v>
          </cell>
          <cell r="G6">
            <v>6.157E-2</v>
          </cell>
          <cell r="H6">
            <v>6.7589999999999997E-2</v>
          </cell>
          <cell r="I6">
            <v>7.3599999999999999E-2</v>
          </cell>
          <cell r="J6">
            <v>7.9619999999999996E-2</v>
          </cell>
        </row>
        <row r="7">
          <cell r="A7">
            <v>5</v>
          </cell>
          <cell r="B7" t="str">
            <v>2.51 a 3.00 UMA</v>
          </cell>
          <cell r="C7">
            <v>3.8690000000000002E-2</v>
          </cell>
          <cell r="D7">
            <v>4.5879999999999997E-2</v>
          </cell>
          <cell r="E7">
            <v>5.3069999999999999E-2</v>
          </cell>
          <cell r="F7">
            <v>6.0260000000000001E-2</v>
          </cell>
          <cell r="G7">
            <v>6.7449999999999996E-2</v>
          </cell>
          <cell r="H7">
            <v>7.4639999999999998E-2</v>
          </cell>
          <cell r="I7">
            <v>8.183E-2</v>
          </cell>
          <cell r="J7">
            <v>8.9020000000000002E-2</v>
          </cell>
        </row>
        <row r="8">
          <cell r="A8">
            <v>6</v>
          </cell>
          <cell r="B8" t="str">
            <v>3.01 a 3.50 UMA</v>
          </cell>
          <cell r="C8">
            <v>3.9530000000000003E-2</v>
          </cell>
          <cell r="D8">
            <v>4.7559999999999998E-2</v>
          </cell>
          <cell r="E8">
            <v>5.5590000000000001E-2</v>
          </cell>
          <cell r="F8">
            <v>6.361E-2</v>
          </cell>
          <cell r="G8">
            <v>7.1639999999999995E-2</v>
          </cell>
          <cell r="H8">
            <v>7.9670000000000005E-2</v>
          </cell>
          <cell r="I8">
            <v>8.77E-2</v>
          </cell>
          <cell r="J8">
            <v>9.5729999999999996E-2</v>
          </cell>
        </row>
        <row r="9">
          <cell r="A9">
            <v>7</v>
          </cell>
          <cell r="B9" t="str">
            <v>3.51 a 4.00 UMA</v>
          </cell>
          <cell r="C9">
            <v>4.0160000000000001E-2</v>
          </cell>
          <cell r="D9">
            <v>4.8820000000000002E-2</v>
          </cell>
          <cell r="E9">
            <v>5.747E-2</v>
          </cell>
          <cell r="F9">
            <v>6.6129999999999994E-2</v>
          </cell>
          <cell r="G9">
            <v>7.4789999999999995E-2</v>
          </cell>
          <cell r="H9">
            <v>8.3449999999999996E-2</v>
          </cell>
          <cell r="I9">
            <v>9.2109999999999997E-2</v>
          </cell>
          <cell r="J9">
            <v>0.10077</v>
          </cell>
        </row>
        <row r="10">
          <cell r="A10">
            <v>8</v>
          </cell>
          <cell r="B10" t="str">
            <v>4.01 UMA en adelante</v>
          </cell>
          <cell r="C10">
            <v>4.2410000000000003E-2</v>
          </cell>
          <cell r="D10">
            <v>5.3310000000000003E-2</v>
          </cell>
          <cell r="E10">
            <v>6.4219999999999999E-2</v>
          </cell>
          <cell r="F10">
            <v>7.5130000000000002E-2</v>
          </cell>
          <cell r="G10">
            <v>8.6029999999999995E-2</v>
          </cell>
          <cell r="H10">
            <v>9.6939999999999998E-2</v>
          </cell>
          <cell r="I10">
            <v>0.10784000000000001</v>
          </cell>
          <cell r="J10">
            <v>0.11874999999999999</v>
          </cell>
        </row>
      </sheetData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Calculo"/>
    </sheetNames>
    <sheetDataSet>
      <sheetData sheetId="0">
        <row r="2">
          <cell r="C2">
            <v>15.45</v>
          </cell>
        </row>
        <row r="5">
          <cell r="C5">
            <v>2</v>
          </cell>
        </row>
        <row r="6">
          <cell r="C6">
            <v>8</v>
          </cell>
        </row>
        <row r="7">
          <cell r="C7">
            <v>0.90010000000000001</v>
          </cell>
        </row>
        <row r="14">
          <cell r="C14">
            <v>100</v>
          </cell>
        </row>
        <row r="15">
          <cell r="C15">
            <v>2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_Campos Generales"/>
      <sheetName val="DatosObra"/>
      <sheetName val="Programa"/>
      <sheetName val="a)Plantilla"/>
      <sheetName val="b)Indirectos Desglosados"/>
      <sheetName val="c)Resumen Indirectos"/>
      <sheetName val="d)Financ_Horizontal"/>
      <sheetName val="e)Pers.Técnico$"/>
      <sheetName val="f)Financiamiento"/>
      <sheetName val="g)Utilidad"/>
      <sheetName val="h)Cargos_Adicionales"/>
      <sheetName val="i)Resumen"/>
      <sheetName val="d)Pers.Técnico"/>
    </sheetNames>
    <sheetDataSet>
      <sheetData sheetId="0" refreshError="1"/>
      <sheetData sheetId="1">
        <row r="4">
          <cell r="F4">
            <v>2405547.54</v>
          </cell>
        </row>
        <row r="7">
          <cell r="E7">
            <v>5</v>
          </cell>
        </row>
        <row r="11">
          <cell r="E11">
            <v>30</v>
          </cell>
        </row>
        <row r="12">
          <cell r="E12">
            <v>10</v>
          </cell>
        </row>
        <row r="47">
          <cell r="E47">
            <v>0.02</v>
          </cell>
        </row>
      </sheetData>
      <sheetData sheetId="2" refreshError="1"/>
      <sheetData sheetId="3" refreshError="1"/>
      <sheetData sheetId="4">
        <row r="94">
          <cell r="F94">
            <v>3636415.68</v>
          </cell>
        </row>
        <row r="95">
          <cell r="F95">
            <v>0.158</v>
          </cell>
        </row>
      </sheetData>
      <sheetData sheetId="5" refreshError="1"/>
      <sheetData sheetId="6">
        <row r="44">
          <cell r="G44">
            <v>261010.67</v>
          </cell>
          <cell r="I44">
            <v>9.7909199999999998E-3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_Campos Generales"/>
      <sheetName val="uma"/>
      <sheetName val="a)TablaFactores"/>
      <sheetName val="b) CapturaDatos"/>
      <sheetName val="c)Horas Extras"/>
      <sheetName val="d)Salarios"/>
      <sheetName val="e) Fsr_FactorJornada8hrs"/>
      <sheetName val="f)Ps_factorJornada8hrs"/>
      <sheetName val="g) Fsr_FactorJornadaExtra"/>
      <sheetName val="h)Ps_factorJornadaExtra"/>
      <sheetName val="o)Fasar Una TablaJnormal"/>
      <sheetName val="p)Fasar Una TablaJextra"/>
      <sheetName val="q)Fasar Individual_Jnormal"/>
      <sheetName val="r)Fasar Individual_Jextra"/>
      <sheetName val="Documentación"/>
    </sheetNames>
    <sheetDataSet>
      <sheetData sheetId="0"/>
      <sheetData sheetId="1"/>
      <sheetData sheetId="2">
        <row r="11">
          <cell r="H11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numletras"/>
    </sheetNames>
    <definedNames>
      <definedName name="NumLetras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9DFA-79C5-4DA9-AC81-B825297AECB4}">
  <sheetPr codeName="Hoja17"/>
  <dimension ref="A1:H17"/>
  <sheetViews>
    <sheetView workbookViewId="0">
      <selection activeCell="F12" sqref="F12"/>
    </sheetView>
  </sheetViews>
  <sheetFormatPr baseColWidth="10" defaultColWidth="10.85546875" defaultRowHeight="15" x14ac:dyDescent="0.25"/>
  <cols>
    <col min="1" max="16384" width="10.85546875" style="123"/>
  </cols>
  <sheetData>
    <row r="1" spans="1:8" ht="15.75" thickTop="1" x14ac:dyDescent="0.25">
      <c r="A1" s="145" t="s">
        <v>118</v>
      </c>
      <c r="B1" s="144" t="s">
        <v>117</v>
      </c>
      <c r="C1" s="142"/>
      <c r="D1" s="142"/>
      <c r="E1" s="158"/>
      <c r="F1" s="142"/>
      <c r="G1" s="142"/>
      <c r="H1" s="154">
        <v>365</v>
      </c>
    </row>
    <row r="2" spans="1:8" x14ac:dyDescent="0.25">
      <c r="A2" s="152" t="s">
        <v>116</v>
      </c>
      <c r="B2" s="130" t="s">
        <v>115</v>
      </c>
      <c r="E2" s="153"/>
      <c r="H2" s="150">
        <v>45</v>
      </c>
    </row>
    <row r="3" spans="1:8" x14ac:dyDescent="0.25">
      <c r="A3" s="152" t="s">
        <v>114</v>
      </c>
      <c r="B3" s="130" t="s">
        <v>113</v>
      </c>
      <c r="E3" s="153"/>
      <c r="G3" s="157"/>
      <c r="H3" s="150">
        <v>4</v>
      </c>
    </row>
    <row r="4" spans="1:8" x14ac:dyDescent="0.25">
      <c r="A4" s="152"/>
      <c r="B4" s="130" t="s">
        <v>112</v>
      </c>
      <c r="E4" s="153"/>
      <c r="G4" s="157"/>
      <c r="H4" s="150">
        <v>0</v>
      </c>
    </row>
    <row r="5" spans="1:8" ht="15.75" thickBot="1" x14ac:dyDescent="0.3">
      <c r="A5" s="127" t="s">
        <v>111</v>
      </c>
      <c r="B5" s="149" t="s">
        <v>110</v>
      </c>
      <c r="C5" s="125"/>
      <c r="D5" s="125"/>
      <c r="E5" s="156"/>
      <c r="F5" s="125"/>
      <c r="G5" s="147" t="s">
        <v>97</v>
      </c>
      <c r="H5" s="146">
        <f>SUM(H1:H4)</f>
        <v>414</v>
      </c>
    </row>
    <row r="6" spans="1:8" ht="15.75" thickTop="1" x14ac:dyDescent="0.25">
      <c r="A6" s="145" t="s">
        <v>109</v>
      </c>
      <c r="B6" s="144" t="s">
        <v>108</v>
      </c>
      <c r="C6" s="142"/>
      <c r="D6" s="142"/>
      <c r="E6" s="155"/>
      <c r="F6" s="142"/>
      <c r="G6" s="142"/>
      <c r="H6" s="154">
        <v>52</v>
      </c>
    </row>
    <row r="7" spans="1:8" x14ac:dyDescent="0.25">
      <c r="A7" s="152" t="s">
        <v>107</v>
      </c>
      <c r="B7" s="130" t="s">
        <v>106</v>
      </c>
      <c r="E7" s="153"/>
      <c r="H7" s="150">
        <v>15</v>
      </c>
    </row>
    <row r="8" spans="1:8" x14ac:dyDescent="0.25">
      <c r="A8" s="152" t="s">
        <v>105</v>
      </c>
      <c r="B8" s="130" t="s">
        <v>104</v>
      </c>
      <c r="E8" s="153"/>
      <c r="H8" s="150">
        <v>7</v>
      </c>
    </row>
    <row r="9" spans="1:8" x14ac:dyDescent="0.25">
      <c r="A9" s="152" t="s">
        <v>103</v>
      </c>
      <c r="B9" s="130" t="s">
        <v>102</v>
      </c>
      <c r="E9" s="151"/>
      <c r="H9" s="150">
        <v>7</v>
      </c>
    </row>
    <row r="10" spans="1:8" x14ac:dyDescent="0.25">
      <c r="A10" s="152" t="s">
        <v>101</v>
      </c>
      <c r="B10" s="130" t="s">
        <v>100</v>
      </c>
      <c r="E10" s="151"/>
      <c r="H10" s="150">
        <v>2</v>
      </c>
    </row>
    <row r="11" spans="1:8" ht="15.75" thickBot="1" x14ac:dyDescent="0.3">
      <c r="A11" s="127" t="s">
        <v>99</v>
      </c>
      <c r="B11" s="149" t="s">
        <v>98</v>
      </c>
      <c r="C11" s="125"/>
      <c r="D11" s="125"/>
      <c r="E11" s="148"/>
      <c r="F11" s="125"/>
      <c r="G11" s="147" t="s">
        <v>97</v>
      </c>
      <c r="H11" s="146">
        <f>SUM(H6:H10)</f>
        <v>83</v>
      </c>
    </row>
    <row r="12" spans="1:8" ht="15.75" thickTop="1" x14ac:dyDescent="0.25">
      <c r="A12" s="145" t="s">
        <v>96</v>
      </c>
      <c r="B12" s="144"/>
      <c r="C12" s="142"/>
      <c r="D12" s="142"/>
      <c r="E12" s="143"/>
      <c r="F12" s="142"/>
      <c r="G12" s="142"/>
      <c r="H12" s="141"/>
    </row>
    <row r="13" spans="1:8" x14ac:dyDescent="0.25">
      <c r="A13" s="140" t="s">
        <v>95</v>
      </c>
      <c r="B13" s="139" t="s">
        <v>94</v>
      </c>
      <c r="C13" s="138"/>
      <c r="D13" s="136"/>
      <c r="E13" s="137"/>
      <c r="F13" s="136"/>
      <c r="G13" s="136"/>
      <c r="H13" s="135">
        <f>H1-H11</f>
        <v>282</v>
      </c>
    </row>
    <row r="14" spans="1:8" x14ac:dyDescent="0.25">
      <c r="A14" s="134"/>
      <c r="B14" s="130"/>
      <c r="C14" s="133"/>
      <c r="D14" s="133"/>
      <c r="H14" s="132"/>
    </row>
    <row r="15" spans="1:8" x14ac:dyDescent="0.25">
      <c r="A15" s="131" t="s">
        <v>93</v>
      </c>
      <c r="B15" s="130" t="s">
        <v>92</v>
      </c>
      <c r="E15" s="129"/>
      <c r="H15" s="128">
        <f>H5/H13</f>
        <v>1.4680851063829787</v>
      </c>
    </row>
    <row r="16" spans="1:8" ht="15.75" thickBot="1" x14ac:dyDescent="0.3">
      <c r="A16" s="127" t="s">
        <v>91</v>
      </c>
      <c r="B16" s="126" t="s">
        <v>90</v>
      </c>
      <c r="C16" s="125"/>
      <c r="D16" s="125"/>
      <c r="E16" s="125"/>
      <c r="F16" s="125"/>
      <c r="G16" s="125"/>
      <c r="H16" s="124">
        <f>H5/H1</f>
        <v>1.1342465753424658</v>
      </c>
    </row>
    <row r="17" ht="15.75" thickTop="1" x14ac:dyDescent="0.25"/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49E2-325D-4299-8155-A6BCD1959BC3}">
  <sheetPr codeName="Hoja18">
    <pageSetUpPr fitToPage="1"/>
  </sheetPr>
  <dimension ref="A1:O46"/>
  <sheetViews>
    <sheetView topLeftCell="A19" workbookViewId="0">
      <selection activeCell="M46" sqref="A1:M46"/>
    </sheetView>
  </sheetViews>
  <sheetFormatPr baseColWidth="10" defaultColWidth="10.85546875" defaultRowHeight="15" x14ac:dyDescent="0.25"/>
  <cols>
    <col min="1" max="1" width="14.140625" style="159" customWidth="1"/>
    <col min="2" max="2" width="17.140625" style="159" customWidth="1"/>
    <col min="3" max="16384" width="10.85546875" style="159"/>
  </cols>
  <sheetData>
    <row r="1" spans="1:15" x14ac:dyDescent="0.25">
      <c r="A1" s="360" t="s">
        <v>170</v>
      </c>
      <c r="B1" s="360"/>
      <c r="C1" s="360"/>
      <c r="D1" s="215">
        <v>2026</v>
      </c>
      <c r="F1" s="159" t="s">
        <v>169</v>
      </c>
    </row>
    <row r="2" spans="1:15" x14ac:dyDescent="0.25">
      <c r="A2" s="360" t="s">
        <v>168</v>
      </c>
      <c r="B2" s="360"/>
      <c r="C2" s="360"/>
      <c r="D2" s="214">
        <v>315.04000000000002</v>
      </c>
    </row>
    <row r="3" spans="1:15" x14ac:dyDescent="0.25">
      <c r="A3" s="360" t="s">
        <v>167</v>
      </c>
      <c r="B3" s="360"/>
      <c r="C3" s="360"/>
      <c r="D3" s="214">
        <v>440.87</v>
      </c>
      <c r="O3" s="159" t="s">
        <v>166</v>
      </c>
    </row>
    <row r="4" spans="1:15" x14ac:dyDescent="0.25">
      <c r="A4" s="360" t="s">
        <v>165</v>
      </c>
      <c r="B4" s="360"/>
      <c r="C4" s="360"/>
      <c r="D4" s="214">
        <v>117.31</v>
      </c>
      <c r="G4" s="159" t="s">
        <v>164</v>
      </c>
    </row>
    <row r="5" spans="1:15" x14ac:dyDescent="0.25">
      <c r="A5" s="360" t="s">
        <v>163</v>
      </c>
      <c r="B5" s="360"/>
      <c r="C5" s="360"/>
      <c r="D5" s="214">
        <f>D4*3</f>
        <v>351.93</v>
      </c>
    </row>
    <row r="6" spans="1:15" x14ac:dyDescent="0.25">
      <c r="F6" s="204" t="s">
        <v>162</v>
      </c>
      <c r="G6" s="204" t="s">
        <v>161</v>
      </c>
      <c r="H6" s="204" t="s">
        <v>160</v>
      </c>
      <c r="I6" s="204" t="s">
        <v>159</v>
      </c>
      <c r="J6" s="204" t="s">
        <v>158</v>
      </c>
      <c r="K6" s="204" t="s">
        <v>157</v>
      </c>
      <c r="L6" s="204" t="s">
        <v>156</v>
      </c>
      <c r="M6" s="204" t="s">
        <v>155</v>
      </c>
    </row>
    <row r="7" spans="1:15" x14ac:dyDescent="0.25">
      <c r="A7" s="365" t="s">
        <v>154</v>
      </c>
      <c r="B7" s="365"/>
      <c r="C7" s="365"/>
      <c r="D7" s="365"/>
      <c r="E7" s="365"/>
      <c r="F7" s="213">
        <v>278.8</v>
      </c>
      <c r="G7" s="213">
        <v>283.62</v>
      </c>
      <c r="H7" s="213">
        <v>315.64</v>
      </c>
      <c r="I7" s="213">
        <v>351.89</v>
      </c>
      <c r="J7" s="213">
        <v>543.83000000000004</v>
      </c>
      <c r="K7" s="213">
        <v>690.97</v>
      </c>
      <c r="L7" s="213">
        <v>767.86</v>
      </c>
      <c r="M7" s="213">
        <v>864.98</v>
      </c>
    </row>
    <row r="9" spans="1:15" x14ac:dyDescent="0.25">
      <c r="A9" s="365" t="s">
        <v>153</v>
      </c>
      <c r="B9" s="365"/>
      <c r="C9" s="365"/>
      <c r="D9" s="365"/>
      <c r="E9" s="365"/>
      <c r="F9" s="212">
        <v>315.04000000000002</v>
      </c>
      <c r="G9" s="212">
        <v>315.04000000000002</v>
      </c>
      <c r="H9" s="212">
        <f>H7</f>
        <v>315.64</v>
      </c>
      <c r="I9" s="212">
        <f t="shared" ref="I9:M9" si="0">I7</f>
        <v>351.89</v>
      </c>
      <c r="J9" s="212">
        <f t="shared" si="0"/>
        <v>543.83000000000004</v>
      </c>
      <c r="K9" s="212">
        <f t="shared" si="0"/>
        <v>690.97</v>
      </c>
      <c r="L9" s="212">
        <f t="shared" si="0"/>
        <v>767.86</v>
      </c>
      <c r="M9" s="212">
        <f t="shared" si="0"/>
        <v>864.98</v>
      </c>
    </row>
    <row r="10" spans="1:15" x14ac:dyDescent="0.25">
      <c r="A10" s="361" t="s">
        <v>152</v>
      </c>
      <c r="B10" s="361"/>
      <c r="C10" s="361"/>
      <c r="D10" s="361"/>
      <c r="E10" s="361"/>
      <c r="F10" s="211">
        <v>315.04000000000002</v>
      </c>
      <c r="G10" s="211">
        <v>315.04000000000002</v>
      </c>
      <c r="H10" s="211">
        <v>315.04000000000002</v>
      </c>
      <c r="I10" s="211">
        <v>315.04000000000002</v>
      </c>
      <c r="J10" s="211">
        <v>315.04000000000002</v>
      </c>
      <c r="K10" s="211">
        <v>315.04000000000002</v>
      </c>
      <c r="L10" s="211">
        <v>315.04000000000002</v>
      </c>
      <c r="M10" s="211">
        <v>315.04000000000002</v>
      </c>
      <c r="O10" s="159" t="s">
        <v>151</v>
      </c>
    </row>
    <row r="11" spans="1:15" x14ac:dyDescent="0.25">
      <c r="A11" s="361" t="s">
        <v>150</v>
      </c>
      <c r="B11" s="361"/>
      <c r="C11" s="361"/>
      <c r="D11" s="361"/>
      <c r="E11" s="361"/>
      <c r="F11" s="210">
        <f t="shared" ref="F11:M11" si="1">F10/$D$4</f>
        <v>2.6855340550677691</v>
      </c>
      <c r="G11" s="210">
        <f t="shared" si="1"/>
        <v>2.6855340550677691</v>
      </c>
      <c r="H11" s="210">
        <f t="shared" si="1"/>
        <v>2.6855340550677691</v>
      </c>
      <c r="I11" s="210">
        <f t="shared" si="1"/>
        <v>2.6855340550677691</v>
      </c>
      <c r="J11" s="210">
        <f t="shared" si="1"/>
        <v>2.6855340550677691</v>
      </c>
      <c r="K11" s="210">
        <f t="shared" si="1"/>
        <v>2.6855340550677691</v>
      </c>
      <c r="L11" s="210">
        <f t="shared" si="1"/>
        <v>2.6855340550677691</v>
      </c>
      <c r="M11" s="210">
        <f t="shared" si="1"/>
        <v>2.6855340550677691</v>
      </c>
    </row>
    <row r="12" spans="1:15" x14ac:dyDescent="0.25">
      <c r="A12" s="365" t="s">
        <v>149</v>
      </c>
      <c r="B12" s="365"/>
      <c r="C12" s="365"/>
      <c r="D12" s="365"/>
      <c r="E12" s="365"/>
      <c r="F12" s="209">
        <f t="shared" ref="F12:M12" si="2">F9/F7</f>
        <v>1.1299856527977046</v>
      </c>
      <c r="G12" s="209">
        <f t="shared" si="2"/>
        <v>1.1107820322967352</v>
      </c>
      <c r="H12" s="209">
        <f t="shared" si="2"/>
        <v>1</v>
      </c>
      <c r="I12" s="209">
        <f t="shared" si="2"/>
        <v>1</v>
      </c>
      <c r="J12" s="209">
        <f t="shared" si="2"/>
        <v>1</v>
      </c>
      <c r="K12" s="209">
        <f t="shared" si="2"/>
        <v>1</v>
      </c>
      <c r="L12" s="209">
        <f t="shared" si="2"/>
        <v>1</v>
      </c>
      <c r="M12" s="209">
        <f t="shared" si="2"/>
        <v>1</v>
      </c>
    </row>
    <row r="14" spans="1:15" x14ac:dyDescent="0.25">
      <c r="A14" s="365" t="s">
        <v>148</v>
      </c>
      <c r="B14" s="365"/>
      <c r="C14" s="365"/>
      <c r="D14" s="365"/>
      <c r="E14" s="365"/>
      <c r="F14" s="205">
        <f t="shared" ref="F14:M14" si="3">F9/$D$4</f>
        <v>2.6855340550677691</v>
      </c>
      <c r="G14" s="205">
        <f t="shared" si="3"/>
        <v>2.6855340550677691</v>
      </c>
      <c r="H14" s="205">
        <f t="shared" si="3"/>
        <v>2.6906487085499955</v>
      </c>
      <c r="I14" s="205">
        <f t="shared" si="3"/>
        <v>2.9996590231011848</v>
      </c>
      <c r="J14" s="205">
        <f t="shared" si="3"/>
        <v>4.6358366720654676</v>
      </c>
      <c r="K14" s="205">
        <f t="shared" si="3"/>
        <v>5.8901201943568324</v>
      </c>
      <c r="L14" s="205">
        <f t="shared" si="3"/>
        <v>6.5455630381041683</v>
      </c>
      <c r="M14" s="205">
        <f t="shared" si="3"/>
        <v>7.373454948427244</v>
      </c>
      <c r="N14" s="208"/>
    </row>
    <row r="15" spans="1:15" x14ac:dyDescent="0.25">
      <c r="A15" s="365" t="s">
        <v>147</v>
      </c>
      <c r="B15" s="365"/>
      <c r="C15" s="365"/>
      <c r="D15" s="365"/>
      <c r="E15" s="365"/>
      <c r="F15" s="205">
        <f>'[4]1) FSBC'!$H$16</f>
        <v>1.1315068493150684</v>
      </c>
      <c r="G15" s="205">
        <f>'[4]1) FSBC'!$H$16</f>
        <v>1.1315068493150684</v>
      </c>
      <c r="H15" s="205">
        <f>'[4]1) FSBC'!$H$16</f>
        <v>1.1315068493150684</v>
      </c>
      <c r="I15" s="205">
        <f>'[4]1) FSBC'!$H$16</f>
        <v>1.1315068493150684</v>
      </c>
      <c r="J15" s="205">
        <f>'[4]1) FSBC'!$H$16</f>
        <v>1.1315068493150684</v>
      </c>
      <c r="K15" s="205">
        <f>'[4]1) FSBC'!$H$16</f>
        <v>1.1315068493150684</v>
      </c>
      <c r="L15" s="205">
        <f>'[4]1) FSBC'!$H$16</f>
        <v>1.1315068493150684</v>
      </c>
      <c r="M15" s="205">
        <f>'[4]1) FSBC'!$H$16</f>
        <v>1.1315068493150684</v>
      </c>
    </row>
    <row r="16" spans="1:15" x14ac:dyDescent="0.25">
      <c r="A16" s="366" t="s">
        <v>146</v>
      </c>
      <c r="B16" s="366"/>
      <c r="C16" s="366"/>
      <c r="D16" s="366"/>
      <c r="E16" s="366"/>
      <c r="F16" s="207">
        <f t="shared" ref="F16:M16" si="4">F15*F14</f>
        <v>3.0387001773780509</v>
      </c>
      <c r="G16" s="207">
        <f t="shared" si="4"/>
        <v>3.0387001773780509</v>
      </c>
      <c r="H16" s="207">
        <f t="shared" si="4"/>
        <v>3.044487442825063</v>
      </c>
      <c r="I16" s="207">
        <f t="shared" si="4"/>
        <v>3.3941347302487377</v>
      </c>
      <c r="J16" s="207">
        <f t="shared" si="4"/>
        <v>5.2454809467480494</v>
      </c>
      <c r="K16" s="207">
        <f t="shared" si="4"/>
        <v>6.6647113432037575</v>
      </c>
      <c r="L16" s="207">
        <f t="shared" si="4"/>
        <v>7.4063494102384144</v>
      </c>
      <c r="M16" s="207">
        <f t="shared" si="4"/>
        <v>8.3431147772615102</v>
      </c>
    </row>
    <row r="17" spans="1:15" x14ac:dyDescent="0.25">
      <c r="A17" s="365" t="s">
        <v>145</v>
      </c>
      <c r="B17" s="365"/>
      <c r="C17" s="365"/>
      <c r="D17" s="365"/>
      <c r="E17" s="365"/>
      <c r="F17" s="206">
        <f t="shared" ref="F17:M17" si="5">F15*F9</f>
        <v>356.46991780821918</v>
      </c>
      <c r="G17" s="206">
        <f t="shared" si="5"/>
        <v>356.46991780821918</v>
      </c>
      <c r="H17" s="206">
        <f t="shared" si="5"/>
        <v>357.14882191780816</v>
      </c>
      <c r="I17" s="206">
        <f t="shared" si="5"/>
        <v>398.16594520547937</v>
      </c>
      <c r="J17" s="206">
        <f t="shared" si="5"/>
        <v>615.34736986301368</v>
      </c>
      <c r="K17" s="206">
        <f t="shared" si="5"/>
        <v>781.83728767123284</v>
      </c>
      <c r="L17" s="206">
        <f t="shared" si="5"/>
        <v>868.83884931506839</v>
      </c>
      <c r="M17" s="206">
        <f t="shared" si="5"/>
        <v>978.73079452054787</v>
      </c>
    </row>
    <row r="18" spans="1:15" x14ac:dyDescent="0.25">
      <c r="A18" s="365" t="s">
        <v>144</v>
      </c>
      <c r="B18" s="365"/>
      <c r="C18" s="365"/>
      <c r="D18" s="365"/>
      <c r="E18" s="365"/>
      <c r="F18" s="205">
        <f t="shared" ref="F18:M18" si="6">IF((F16-3)&gt;0,(F16-3),0)</f>
        <v>3.8700177378050871E-2</v>
      </c>
      <c r="G18" s="205">
        <f t="shared" si="6"/>
        <v>3.8700177378050871E-2</v>
      </c>
      <c r="H18" s="205">
        <f t="shared" si="6"/>
        <v>4.4487442825063006E-2</v>
      </c>
      <c r="I18" s="205">
        <f t="shared" si="6"/>
        <v>0.39413473024873769</v>
      </c>
      <c r="J18" s="205">
        <f t="shared" si="6"/>
        <v>2.2454809467480494</v>
      </c>
      <c r="K18" s="205">
        <f t="shared" si="6"/>
        <v>3.6647113432037575</v>
      </c>
      <c r="L18" s="205">
        <f t="shared" si="6"/>
        <v>4.4063494102384144</v>
      </c>
      <c r="M18" s="205">
        <f t="shared" si="6"/>
        <v>5.3431147772615102</v>
      </c>
      <c r="O18" s="159" t="s">
        <v>143</v>
      </c>
    </row>
    <row r="20" spans="1:15" x14ac:dyDescent="0.25">
      <c r="C20" s="204" t="s">
        <v>142</v>
      </c>
      <c r="D20" s="204" t="s">
        <v>141</v>
      </c>
      <c r="E20" s="204" t="s">
        <v>140</v>
      </c>
    </row>
    <row r="21" spans="1:15" ht="30" x14ac:dyDescent="0.25">
      <c r="A21" s="203" t="s">
        <v>139</v>
      </c>
      <c r="B21" s="202"/>
      <c r="C21" s="201">
        <v>7.5887499999999997E-2</v>
      </c>
      <c r="D21" s="200"/>
      <c r="E21" s="199">
        <f>SUM(C21:D21)</f>
        <v>7.5887499999999997E-2</v>
      </c>
      <c r="F21" s="198">
        <f t="shared" ref="F21:M21" si="7">$E21*F$16</f>
        <v>0.23059935971077683</v>
      </c>
      <c r="G21" s="198">
        <f t="shared" si="7"/>
        <v>0.23059935971077683</v>
      </c>
      <c r="H21" s="198">
        <f t="shared" si="7"/>
        <v>0.23103854081738695</v>
      </c>
      <c r="I21" s="198">
        <f t="shared" si="7"/>
        <v>0.25757239934175108</v>
      </c>
      <c r="J21" s="198">
        <f t="shared" si="7"/>
        <v>0.39806643534634256</v>
      </c>
      <c r="K21" s="198">
        <f t="shared" si="7"/>
        <v>0.50576828205737512</v>
      </c>
      <c r="L21" s="198">
        <f t="shared" si="7"/>
        <v>0.56204934086946767</v>
      </c>
      <c r="M21" s="198">
        <f t="shared" si="7"/>
        <v>0.63313812265943281</v>
      </c>
    </row>
    <row r="22" spans="1:15" x14ac:dyDescent="0.25">
      <c r="F22" s="169"/>
      <c r="G22" s="169"/>
      <c r="H22" s="169"/>
      <c r="I22" s="169"/>
      <c r="J22" s="169"/>
      <c r="K22" s="169"/>
      <c r="L22" s="169"/>
      <c r="M22" s="169"/>
    </row>
    <row r="23" spans="1:15" x14ac:dyDescent="0.25">
      <c r="A23" s="372" t="s">
        <v>138</v>
      </c>
      <c r="B23" s="196" t="s">
        <v>137</v>
      </c>
      <c r="C23" s="195">
        <v>0.20399999999999999</v>
      </c>
      <c r="D23" s="197"/>
      <c r="E23" s="194">
        <f>SUM(C23:D23)</f>
        <v>0.20399999999999999</v>
      </c>
      <c r="F23" s="193">
        <f t="shared" ref="F23:M23" si="8">$E23*1</f>
        <v>0.20399999999999999</v>
      </c>
      <c r="G23" s="193">
        <f t="shared" si="8"/>
        <v>0.20399999999999999</v>
      </c>
      <c r="H23" s="193">
        <f t="shared" si="8"/>
        <v>0.20399999999999999</v>
      </c>
      <c r="I23" s="193">
        <f t="shared" si="8"/>
        <v>0.20399999999999999</v>
      </c>
      <c r="J23" s="193">
        <f t="shared" si="8"/>
        <v>0.20399999999999999</v>
      </c>
      <c r="K23" s="193">
        <f t="shared" si="8"/>
        <v>0.20399999999999999</v>
      </c>
      <c r="L23" s="193">
        <f t="shared" si="8"/>
        <v>0.20399999999999999</v>
      </c>
      <c r="M23" s="193">
        <f t="shared" si="8"/>
        <v>0.20399999999999999</v>
      </c>
    </row>
    <row r="24" spans="1:15" x14ac:dyDescent="0.25">
      <c r="A24" s="372"/>
      <c r="B24" s="196" t="s">
        <v>136</v>
      </c>
      <c r="C24" s="195">
        <v>1.0999999999999999E-2</v>
      </c>
      <c r="D24" s="195">
        <v>4.0000000000000001E-3</v>
      </c>
      <c r="E24" s="194">
        <f>SUM(C24:D24)</f>
        <v>1.4999999999999999E-2</v>
      </c>
      <c r="F24" s="193">
        <f t="shared" ref="F24:M24" si="9">$E24*F$18</f>
        <v>5.8050266067076299E-4</v>
      </c>
      <c r="G24" s="193">
        <f t="shared" si="9"/>
        <v>5.8050266067076299E-4</v>
      </c>
      <c r="H24" s="193">
        <f t="shared" si="9"/>
        <v>6.6731164237594505E-4</v>
      </c>
      <c r="I24" s="193">
        <f t="shared" si="9"/>
        <v>5.9120209537310651E-3</v>
      </c>
      <c r="J24" s="193">
        <f t="shared" si="9"/>
        <v>3.3682214201220743E-2</v>
      </c>
      <c r="K24" s="193">
        <f t="shared" si="9"/>
        <v>5.4970670148056358E-2</v>
      </c>
      <c r="L24" s="193">
        <f t="shared" si="9"/>
        <v>6.609524115357622E-2</v>
      </c>
      <c r="M24" s="193">
        <f t="shared" si="9"/>
        <v>8.0146721658922657E-2</v>
      </c>
    </row>
    <row r="25" spans="1:15" x14ac:dyDescent="0.25">
      <c r="A25" s="372"/>
      <c r="B25" s="196" t="s">
        <v>135</v>
      </c>
      <c r="C25" s="195">
        <v>1.0500000000000001E-2</v>
      </c>
      <c r="D25" s="195">
        <v>3.7499999999999999E-3</v>
      </c>
      <c r="E25" s="194">
        <f>SUM(C25:D25)</f>
        <v>1.4250000000000001E-2</v>
      </c>
      <c r="F25" s="193">
        <f t="shared" ref="F25:M26" si="10">$E25*F$16</f>
        <v>4.3301477527637224E-2</v>
      </c>
      <c r="G25" s="193">
        <f t="shared" si="10"/>
        <v>4.3301477527637224E-2</v>
      </c>
      <c r="H25" s="193">
        <f t="shared" si="10"/>
        <v>4.3383946060257146E-2</v>
      </c>
      <c r="I25" s="193">
        <f t="shared" si="10"/>
        <v>4.8366419906044511E-2</v>
      </c>
      <c r="J25" s="193">
        <f t="shared" si="10"/>
        <v>7.4748103491159706E-2</v>
      </c>
      <c r="K25" s="193">
        <f t="shared" si="10"/>
        <v>9.4972136640653543E-2</v>
      </c>
      <c r="L25" s="193">
        <f t="shared" si="10"/>
        <v>0.10554047909589741</v>
      </c>
      <c r="M25" s="193">
        <f t="shared" si="10"/>
        <v>0.11888938557597653</v>
      </c>
    </row>
    <row r="26" spans="1:15" x14ac:dyDescent="0.25">
      <c r="A26" s="372"/>
      <c r="B26" s="196" t="s">
        <v>134</v>
      </c>
      <c r="C26" s="195">
        <v>7.0000000000000001E-3</v>
      </c>
      <c r="D26" s="195">
        <v>2.5000000000000001E-3</v>
      </c>
      <c r="E26" s="194">
        <f>SUM(C26:D26)</f>
        <v>9.4999999999999998E-3</v>
      </c>
      <c r="F26" s="193">
        <f t="shared" si="10"/>
        <v>2.8867651685091481E-2</v>
      </c>
      <c r="G26" s="193">
        <f t="shared" si="10"/>
        <v>2.8867651685091481E-2</v>
      </c>
      <c r="H26" s="193">
        <f t="shared" si="10"/>
        <v>2.8922630706838096E-2</v>
      </c>
      <c r="I26" s="193">
        <f t="shared" si="10"/>
        <v>3.2244279937363007E-2</v>
      </c>
      <c r="J26" s="193">
        <f t="shared" si="10"/>
        <v>4.9832068994106471E-2</v>
      </c>
      <c r="K26" s="193">
        <f t="shared" si="10"/>
        <v>6.33147577604357E-2</v>
      </c>
      <c r="L26" s="193">
        <f t="shared" si="10"/>
        <v>7.0360319397264934E-2</v>
      </c>
      <c r="M26" s="193">
        <f t="shared" si="10"/>
        <v>7.9259590383984349E-2</v>
      </c>
    </row>
    <row r="28" spans="1:15" ht="30" x14ac:dyDescent="0.25">
      <c r="A28" s="192" t="s">
        <v>132</v>
      </c>
      <c r="B28" s="191" t="s">
        <v>133</v>
      </c>
      <c r="C28" s="190">
        <v>1.7500000000000002E-2</v>
      </c>
      <c r="D28" s="190">
        <v>6.2500000000000003E-3</v>
      </c>
      <c r="E28" s="189">
        <f>SUM(C28:D28)</f>
        <v>2.375E-2</v>
      </c>
      <c r="F28" s="188">
        <f t="shared" ref="F28:M28" si="11">$E28*F$16</f>
        <v>7.2169129212728708E-2</v>
      </c>
      <c r="G28" s="188">
        <f t="shared" si="11"/>
        <v>7.2169129212728708E-2</v>
      </c>
      <c r="H28" s="188">
        <f t="shared" si="11"/>
        <v>7.2306576767095246E-2</v>
      </c>
      <c r="I28" s="188">
        <f t="shared" si="11"/>
        <v>8.0610699843407518E-2</v>
      </c>
      <c r="J28" s="188">
        <f t="shared" si="11"/>
        <v>0.12458017248526618</v>
      </c>
      <c r="K28" s="188">
        <f t="shared" si="11"/>
        <v>0.15828689440108923</v>
      </c>
      <c r="L28" s="188">
        <f t="shared" si="11"/>
        <v>0.17590079849316234</v>
      </c>
      <c r="M28" s="188">
        <f t="shared" si="11"/>
        <v>0.19814897595996087</v>
      </c>
    </row>
    <row r="30" spans="1:15" x14ac:dyDescent="0.25">
      <c r="A30" s="371" t="s">
        <v>132</v>
      </c>
      <c r="B30" s="187" t="s">
        <v>131</v>
      </c>
      <c r="C30" s="182">
        <v>0.02</v>
      </c>
      <c r="D30" s="185"/>
      <c r="E30" s="181">
        <f>SUM(C30:D30)</f>
        <v>0.02</v>
      </c>
      <c r="F30" s="180">
        <f t="shared" ref="F30:M30" si="12">$E30*F$16</f>
        <v>6.0774003547561017E-2</v>
      </c>
      <c r="G30" s="186">
        <f t="shared" si="12"/>
        <v>6.0774003547561017E-2</v>
      </c>
      <c r="H30" s="186">
        <f t="shared" si="12"/>
        <v>6.0889748856501259E-2</v>
      </c>
      <c r="I30" s="186">
        <f t="shared" si="12"/>
        <v>6.7882694604974758E-2</v>
      </c>
      <c r="J30" s="186">
        <f t="shared" si="12"/>
        <v>0.10490961893496099</v>
      </c>
      <c r="K30" s="186">
        <f t="shared" si="12"/>
        <v>0.13329422686407516</v>
      </c>
      <c r="L30" s="186">
        <f t="shared" si="12"/>
        <v>0.1481269882047683</v>
      </c>
      <c r="M30" s="186">
        <f t="shared" si="12"/>
        <v>0.16686229554523022</v>
      </c>
    </row>
    <row r="31" spans="1:15" x14ac:dyDescent="0.25">
      <c r="A31" s="371"/>
      <c r="B31" s="370" t="s">
        <v>130</v>
      </c>
      <c r="C31" s="183" t="s">
        <v>129</v>
      </c>
      <c r="D31" s="185"/>
      <c r="E31" s="185"/>
      <c r="F31" s="183">
        <f t="shared" ref="F31:M31" si="13">IF(F16=1,1,IF(AND(F9&gt;1,F16&lt;=1.5),2,IF(AND(F16&gt;1.5,F16&lt;=2),3,IF(AND(F16&gt;2,F16&lt;=2.5),4,IF(AND(F16&gt;2.5,F16&lt;=3),5,IF(AND(F16&gt;3,F16&lt;=3.5),6,IF(AND(F16&gt;3.5,F16&lt;=4),7,IF(F16&gt;4,8))))))))</f>
        <v>6</v>
      </c>
      <c r="G31" s="183">
        <f t="shared" si="13"/>
        <v>6</v>
      </c>
      <c r="H31" s="183">
        <f t="shared" si="13"/>
        <v>6</v>
      </c>
      <c r="I31" s="183">
        <f t="shared" si="13"/>
        <v>6</v>
      </c>
      <c r="J31" s="183">
        <f t="shared" si="13"/>
        <v>8</v>
      </c>
      <c r="K31" s="183">
        <f t="shared" si="13"/>
        <v>8</v>
      </c>
      <c r="L31" s="183">
        <f t="shared" si="13"/>
        <v>8</v>
      </c>
      <c r="M31" s="183">
        <f t="shared" si="13"/>
        <v>8</v>
      </c>
    </row>
    <row r="32" spans="1:15" x14ac:dyDescent="0.25">
      <c r="A32" s="371"/>
      <c r="B32" s="370"/>
      <c r="C32" s="183" t="s">
        <v>128</v>
      </c>
      <c r="D32" s="185"/>
      <c r="E32" s="185"/>
      <c r="F32" s="184">
        <f>VLOOKUP(F31,'[4]Invalidez y vida NR'!$A$3:$J$10,HLOOKUP($D$1,'[4]Invalidez y vida NR'!$C$1:$J$2,2,FALSE),FALSE)</f>
        <v>6.361E-2</v>
      </c>
      <c r="G32" s="184">
        <f>VLOOKUP(G31,'[4]Invalidez y vida NR'!$A$3:$J$10,HLOOKUP($D$1,'[4]Invalidez y vida NR'!$C$1:$J$2,2,FALSE),FALSE)</f>
        <v>6.361E-2</v>
      </c>
      <c r="H32" s="184">
        <f>VLOOKUP(H31,'[4]Invalidez y vida NR'!$A$3:$J$10,HLOOKUP($D$1,'[4]Invalidez y vida NR'!$C$1:$J$2,2,FALSE),FALSE)</f>
        <v>6.361E-2</v>
      </c>
      <c r="I32" s="184">
        <f>VLOOKUP(I31,'[4]Invalidez y vida NR'!$A$3:$J$10,HLOOKUP($D$1,'[4]Invalidez y vida NR'!$C$1:$J$2,2,FALSE),FALSE)</f>
        <v>6.361E-2</v>
      </c>
      <c r="J32" s="184">
        <f>VLOOKUP(J31,'[4]Invalidez y vida NR'!$A$3:$J$10,HLOOKUP($D$1,'[4]Invalidez y vida NR'!$C$1:$J$2,2,FALSE),FALSE)</f>
        <v>7.5130000000000002E-2</v>
      </c>
      <c r="K32" s="184">
        <f>VLOOKUP(K31,'[4]Invalidez y vida NR'!$A$3:$J$10,HLOOKUP($D$1,'[4]Invalidez y vida NR'!$C$1:$J$2,2,FALSE),FALSE)</f>
        <v>7.5130000000000002E-2</v>
      </c>
      <c r="L32" s="184">
        <f>VLOOKUP(L31,'[4]Invalidez y vida NR'!$A$3:$J$10,HLOOKUP($D$1,'[4]Invalidez y vida NR'!$C$1:$J$2,2,FALSE),FALSE)</f>
        <v>7.5130000000000002E-2</v>
      </c>
      <c r="M32" s="184">
        <f>VLOOKUP(M31,'[4]Invalidez y vida NR'!$A$3:$J$10,HLOOKUP($D$1,'[4]Invalidez y vida NR'!$C$1:$J$2,2,FALSE),FALSE)</f>
        <v>7.5130000000000002E-2</v>
      </c>
    </row>
    <row r="33" spans="1:13" x14ac:dyDescent="0.25">
      <c r="A33" s="371"/>
      <c r="B33" s="370"/>
      <c r="C33" s="183" t="s">
        <v>127</v>
      </c>
      <c r="D33" s="182">
        <v>1.125E-2</v>
      </c>
      <c r="E33" s="181">
        <f>SUM(C33:D33)</f>
        <v>1.125E-2</v>
      </c>
      <c r="F33" s="180">
        <f t="shared" ref="F33:M33" si="14">(IF(F9=F11,0,$E33)+F32)*F$16</f>
        <v>0.22747709527852086</v>
      </c>
      <c r="G33" s="180">
        <f t="shared" si="14"/>
        <v>0.22747709527852086</v>
      </c>
      <c r="H33" s="180">
        <f t="shared" si="14"/>
        <v>0.2279103299698842</v>
      </c>
      <c r="I33" s="180">
        <f t="shared" si="14"/>
        <v>0.25408492590642051</v>
      </c>
      <c r="J33" s="180">
        <f t="shared" si="14"/>
        <v>0.45310464418009649</v>
      </c>
      <c r="K33" s="180">
        <f t="shared" si="14"/>
        <v>0.57569776582594057</v>
      </c>
      <c r="L33" s="180">
        <f t="shared" si="14"/>
        <v>0.63976046205639425</v>
      </c>
      <c r="M33" s="180">
        <f t="shared" si="14"/>
        <v>0.72067825445984923</v>
      </c>
    </row>
    <row r="34" spans="1:13" x14ac:dyDescent="0.25">
      <c r="F34" s="179"/>
    </row>
    <row r="35" spans="1:13" ht="30" x14ac:dyDescent="0.25">
      <c r="A35" s="178" t="s">
        <v>126</v>
      </c>
      <c r="B35" s="178"/>
      <c r="C35" s="177"/>
      <c r="D35" s="176">
        <v>0.01</v>
      </c>
      <c r="E35" s="175">
        <f>SUM(C35:D35)</f>
        <v>0.01</v>
      </c>
      <c r="F35" s="174">
        <f t="shared" ref="F35:M35" si="15">$E35*F$16</f>
        <v>3.0387001773780509E-2</v>
      </c>
      <c r="G35" s="174">
        <f t="shared" si="15"/>
        <v>3.0387001773780509E-2</v>
      </c>
      <c r="H35" s="174">
        <f t="shared" si="15"/>
        <v>3.044487442825063E-2</v>
      </c>
      <c r="I35" s="174">
        <f t="shared" si="15"/>
        <v>3.3941347302487379E-2</v>
      </c>
      <c r="J35" s="174">
        <f t="shared" si="15"/>
        <v>5.2454809467480497E-2</v>
      </c>
      <c r="K35" s="174">
        <f t="shared" si="15"/>
        <v>6.664711343203758E-2</v>
      </c>
      <c r="L35" s="174">
        <f t="shared" si="15"/>
        <v>7.406349410238415E-2</v>
      </c>
      <c r="M35" s="174">
        <f t="shared" si="15"/>
        <v>8.3431147772615108E-2</v>
      </c>
    </row>
    <row r="37" spans="1:13" ht="30" x14ac:dyDescent="0.25">
      <c r="A37" s="173" t="s">
        <v>125</v>
      </c>
      <c r="B37" s="172"/>
      <c r="C37" s="171"/>
      <c r="D37" s="171"/>
      <c r="E37" s="171"/>
      <c r="F37" s="170">
        <f t="shared" ref="F37:M37" si="16">F35+F33+F30+F28+F26+F25+F24+F23+F21</f>
        <v>0.89815622139676743</v>
      </c>
      <c r="G37" s="170">
        <f t="shared" si="16"/>
        <v>0.89815622139676743</v>
      </c>
      <c r="H37" s="170">
        <f t="shared" si="16"/>
        <v>0.89956395924858945</v>
      </c>
      <c r="I37" s="170">
        <f t="shared" si="16"/>
        <v>0.98461478779617995</v>
      </c>
      <c r="J37" s="170">
        <f t="shared" si="16"/>
        <v>1.4953780671006336</v>
      </c>
      <c r="K37" s="170">
        <f t="shared" si="16"/>
        <v>1.8569518471296633</v>
      </c>
      <c r="L37" s="170">
        <f t="shared" si="16"/>
        <v>2.0458971233729151</v>
      </c>
      <c r="M37" s="170">
        <f t="shared" si="16"/>
        <v>2.2845544940159717</v>
      </c>
    </row>
    <row r="38" spans="1:13" x14ac:dyDescent="0.25">
      <c r="F38" s="169"/>
    </row>
    <row r="39" spans="1:13" ht="30" x14ac:dyDescent="0.25">
      <c r="A39" s="168" t="s">
        <v>124</v>
      </c>
      <c r="B39" s="167"/>
      <c r="C39" s="166">
        <v>0.05</v>
      </c>
      <c r="D39" s="165"/>
      <c r="E39" s="164">
        <f>SUM(C39:C39)</f>
        <v>0.05</v>
      </c>
      <c r="F39" s="163">
        <f t="shared" ref="F39:M39" si="17">$E39*F$16</f>
        <v>0.15193500886890254</v>
      </c>
      <c r="G39" s="163">
        <f t="shared" si="17"/>
        <v>0.15193500886890254</v>
      </c>
      <c r="H39" s="163">
        <f t="shared" si="17"/>
        <v>0.15222437214125317</v>
      </c>
      <c r="I39" s="163">
        <f t="shared" si="17"/>
        <v>0.1697067365124369</v>
      </c>
      <c r="J39" s="163">
        <f t="shared" si="17"/>
        <v>0.2622740473374025</v>
      </c>
      <c r="K39" s="163">
        <f t="shared" si="17"/>
        <v>0.33323556716018787</v>
      </c>
      <c r="L39" s="163">
        <f t="shared" si="17"/>
        <v>0.37031747051192077</v>
      </c>
      <c r="M39" s="163">
        <f t="shared" si="17"/>
        <v>0.41715573886307555</v>
      </c>
    </row>
    <row r="41" spans="1:13" x14ac:dyDescent="0.25">
      <c r="A41" s="362" t="s">
        <v>123</v>
      </c>
      <c r="B41" s="363"/>
      <c r="C41" s="363"/>
      <c r="D41" s="363"/>
      <c r="E41" s="364"/>
      <c r="F41" s="161">
        <f t="shared" ref="F41:M41" si="18">F39+F37</f>
        <v>1.05009123026567</v>
      </c>
      <c r="G41" s="161">
        <f t="shared" si="18"/>
        <v>1.05009123026567</v>
      </c>
      <c r="H41" s="161">
        <f t="shared" si="18"/>
        <v>1.0517883313898426</v>
      </c>
      <c r="I41" s="161">
        <f t="shared" si="18"/>
        <v>1.1543215243086169</v>
      </c>
      <c r="J41" s="161">
        <f t="shared" si="18"/>
        <v>1.7576521144380362</v>
      </c>
      <c r="K41" s="161">
        <f t="shared" si="18"/>
        <v>2.1901874142898512</v>
      </c>
      <c r="L41" s="161">
        <f t="shared" si="18"/>
        <v>2.4162145938848356</v>
      </c>
      <c r="M41" s="161">
        <f t="shared" si="18"/>
        <v>2.701710232879047</v>
      </c>
    </row>
    <row r="42" spans="1:13" x14ac:dyDescent="0.25">
      <c r="A42" s="362" t="s">
        <v>122</v>
      </c>
      <c r="B42" s="363"/>
      <c r="C42" s="363"/>
      <c r="D42" s="363"/>
      <c r="E42" s="364"/>
      <c r="F42" s="162">
        <f t="shared" ref="F42:M42" si="19">F41/F16</f>
        <v>0.34557250435011444</v>
      </c>
      <c r="G42" s="162">
        <f t="shared" si="19"/>
        <v>0.34557250435011444</v>
      </c>
      <c r="H42" s="162">
        <f t="shared" si="19"/>
        <v>0.34547303976194416</v>
      </c>
      <c r="I42" s="162">
        <f t="shared" si="19"/>
        <v>0.34009301811776427</v>
      </c>
      <c r="J42" s="162">
        <f t="shared" si="19"/>
        <v>0.33507930584090623</v>
      </c>
      <c r="K42" s="162">
        <f t="shared" si="19"/>
        <v>0.32862449722196341</v>
      </c>
      <c r="L42" s="162">
        <f t="shared" si="19"/>
        <v>0.32623556627570133</v>
      </c>
      <c r="M42" s="162">
        <f t="shared" si="19"/>
        <v>0.32382513066251245</v>
      </c>
    </row>
    <row r="43" spans="1:13" x14ac:dyDescent="0.25">
      <c r="A43" s="362" t="s">
        <v>93</v>
      </c>
      <c r="B43" s="363"/>
      <c r="C43" s="363"/>
      <c r="D43" s="363"/>
      <c r="E43" s="364"/>
      <c r="F43" s="162">
        <f>'[4]1) FSBC'!$H$15</f>
        <v>1.4645390070921986</v>
      </c>
      <c r="G43" s="162">
        <f>'[4]1) FSBC'!$H$15</f>
        <v>1.4645390070921986</v>
      </c>
      <c r="H43" s="162">
        <f>'[4]1) FSBC'!$H$15</f>
        <v>1.4645390070921986</v>
      </c>
      <c r="I43" s="162">
        <f>'[4]1) FSBC'!$H$15</f>
        <v>1.4645390070921986</v>
      </c>
      <c r="J43" s="162">
        <f>'[4]1) FSBC'!$H$15</f>
        <v>1.4645390070921986</v>
      </c>
      <c r="K43" s="162">
        <f>'[4]1) FSBC'!$H$15</f>
        <v>1.4645390070921986</v>
      </c>
      <c r="L43" s="162">
        <f>'[4]1) FSBC'!$H$15</f>
        <v>1.4645390070921986</v>
      </c>
      <c r="M43" s="162">
        <f>'[4]1) FSBC'!$H$15</f>
        <v>1.4645390070921986</v>
      </c>
    </row>
    <row r="44" spans="1:13" x14ac:dyDescent="0.25">
      <c r="A44" s="362" t="s">
        <v>121</v>
      </c>
      <c r="B44" s="363"/>
      <c r="C44" s="363"/>
      <c r="D44" s="363"/>
      <c r="E44" s="364"/>
      <c r="F44" s="162">
        <f t="shared" ref="F44:M44" si="20">F42*F43</f>
        <v>0.50610441239928106</v>
      </c>
      <c r="G44" s="162">
        <f t="shared" si="20"/>
        <v>0.50610441239928106</v>
      </c>
      <c r="H44" s="162">
        <f t="shared" si="20"/>
        <v>0.50595874263008134</v>
      </c>
      <c r="I44" s="162">
        <f t="shared" si="20"/>
        <v>0.49807949107317961</v>
      </c>
      <c r="J44" s="162">
        <f t="shared" si="20"/>
        <v>0.49073671387338397</v>
      </c>
      <c r="K44" s="162">
        <f t="shared" si="20"/>
        <v>0.48128339486762728</v>
      </c>
      <c r="L44" s="162">
        <f t="shared" si="20"/>
        <v>0.47778471231157676</v>
      </c>
      <c r="M44" s="162">
        <f t="shared" si="20"/>
        <v>0.47425453533197748</v>
      </c>
    </row>
    <row r="45" spans="1:13" x14ac:dyDescent="0.25">
      <c r="A45" s="362" t="s">
        <v>120</v>
      </c>
      <c r="B45" s="363"/>
      <c r="C45" s="363"/>
      <c r="D45" s="363"/>
      <c r="E45" s="364"/>
      <c r="F45" s="161">
        <f t="shared" ref="F45:M45" si="21">SUM(F43:F44)</f>
        <v>1.9706434194914797</v>
      </c>
      <c r="G45" s="161">
        <f t="shared" si="21"/>
        <v>1.9706434194914797</v>
      </c>
      <c r="H45" s="161">
        <f t="shared" si="21"/>
        <v>1.97049774972228</v>
      </c>
      <c r="I45" s="161">
        <f t="shared" si="21"/>
        <v>1.9626184981653783</v>
      </c>
      <c r="J45" s="161">
        <f t="shared" si="21"/>
        <v>1.9552757209655827</v>
      </c>
      <c r="K45" s="161">
        <f t="shared" si="21"/>
        <v>1.945822401959826</v>
      </c>
      <c r="L45" s="161">
        <f t="shared" si="21"/>
        <v>1.9423237194037755</v>
      </c>
      <c r="M45" s="161">
        <f t="shared" si="21"/>
        <v>1.9387935424241762</v>
      </c>
    </row>
    <row r="46" spans="1:13" x14ac:dyDescent="0.25">
      <c r="A46" s="367" t="s">
        <v>119</v>
      </c>
      <c r="B46" s="368"/>
      <c r="C46" s="368"/>
      <c r="D46" s="368"/>
      <c r="E46" s="369"/>
      <c r="F46" s="160">
        <f t="shared" ref="F46:M46" si="22">F45*F9</f>
        <v>620.83150287659578</v>
      </c>
      <c r="G46" s="160">
        <f t="shared" si="22"/>
        <v>620.83150287659578</v>
      </c>
      <c r="H46" s="160">
        <f t="shared" si="22"/>
        <v>621.96790972234044</v>
      </c>
      <c r="I46" s="160">
        <f t="shared" si="22"/>
        <v>690.62582331941496</v>
      </c>
      <c r="J46" s="160">
        <f t="shared" si="22"/>
        <v>1063.3375953327129</v>
      </c>
      <c r="K46" s="160">
        <f t="shared" si="22"/>
        <v>1344.504905082181</v>
      </c>
      <c r="L46" s="160">
        <f t="shared" si="22"/>
        <v>1491.432691181383</v>
      </c>
      <c r="M46" s="160">
        <f t="shared" si="22"/>
        <v>1677.0176383260639</v>
      </c>
    </row>
  </sheetData>
  <mergeCells count="24">
    <mergeCell ref="A43:E43"/>
    <mergeCell ref="A44:E44"/>
    <mergeCell ref="A45:E45"/>
    <mergeCell ref="A46:E46"/>
    <mergeCell ref="A17:E17"/>
    <mergeCell ref="B31:B33"/>
    <mergeCell ref="A30:A33"/>
    <mergeCell ref="A23:A26"/>
    <mergeCell ref="A1:C1"/>
    <mergeCell ref="A11:E11"/>
    <mergeCell ref="A42:E42"/>
    <mergeCell ref="A41:E41"/>
    <mergeCell ref="A10:E10"/>
    <mergeCell ref="A12:E12"/>
    <mergeCell ref="A15:E15"/>
    <mergeCell ref="A16:E16"/>
    <mergeCell ref="A18:E18"/>
    <mergeCell ref="A9:E9"/>
    <mergeCell ref="A14:E14"/>
    <mergeCell ref="A2:C2"/>
    <mergeCell ref="A4:C4"/>
    <mergeCell ref="A5:C5"/>
    <mergeCell ref="A7:E7"/>
    <mergeCell ref="A3:C3"/>
  </mergeCells>
  <pageMargins left="0.7" right="0.7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C3:J13"/>
  <sheetViews>
    <sheetView topLeftCell="C1" workbookViewId="0">
      <selection activeCell="C3" sqref="C3:J13"/>
    </sheetView>
  </sheetViews>
  <sheetFormatPr baseColWidth="10" defaultRowHeight="12.75" x14ac:dyDescent="0.2"/>
  <cols>
    <col min="2" max="4" width="16" customWidth="1"/>
    <col min="255" max="255" width="14.85546875" customWidth="1"/>
    <col min="257" max="260" width="16" customWidth="1"/>
    <col min="511" max="511" width="14.85546875" customWidth="1"/>
    <col min="513" max="516" width="16" customWidth="1"/>
    <col min="767" max="767" width="14.85546875" customWidth="1"/>
    <col min="769" max="772" width="16" customWidth="1"/>
    <col min="1023" max="1023" width="14.85546875" customWidth="1"/>
    <col min="1025" max="1028" width="16" customWidth="1"/>
    <col min="1279" max="1279" width="14.85546875" customWidth="1"/>
    <col min="1281" max="1284" width="16" customWidth="1"/>
    <col min="1535" max="1535" width="14.85546875" customWidth="1"/>
    <col min="1537" max="1540" width="16" customWidth="1"/>
    <col min="1791" max="1791" width="14.85546875" customWidth="1"/>
    <col min="1793" max="1796" width="16" customWidth="1"/>
    <col min="2047" max="2047" width="14.85546875" customWidth="1"/>
    <col min="2049" max="2052" width="16" customWidth="1"/>
    <col min="2303" max="2303" width="14.85546875" customWidth="1"/>
    <col min="2305" max="2308" width="16" customWidth="1"/>
    <col min="2559" max="2559" width="14.85546875" customWidth="1"/>
    <col min="2561" max="2564" width="16" customWidth="1"/>
    <col min="2815" max="2815" width="14.85546875" customWidth="1"/>
    <col min="2817" max="2820" width="16" customWidth="1"/>
    <col min="3071" max="3071" width="14.85546875" customWidth="1"/>
    <col min="3073" max="3076" width="16" customWidth="1"/>
    <col min="3327" max="3327" width="14.85546875" customWidth="1"/>
    <col min="3329" max="3332" width="16" customWidth="1"/>
    <col min="3583" max="3583" width="14.85546875" customWidth="1"/>
    <col min="3585" max="3588" width="16" customWidth="1"/>
    <col min="3839" max="3839" width="14.85546875" customWidth="1"/>
    <col min="3841" max="3844" width="16" customWidth="1"/>
    <col min="4095" max="4095" width="14.85546875" customWidth="1"/>
    <col min="4097" max="4100" width="16" customWidth="1"/>
    <col min="4351" max="4351" width="14.85546875" customWidth="1"/>
    <col min="4353" max="4356" width="16" customWidth="1"/>
    <col min="4607" max="4607" width="14.85546875" customWidth="1"/>
    <col min="4609" max="4612" width="16" customWidth="1"/>
    <col min="4863" max="4863" width="14.85546875" customWidth="1"/>
    <col min="4865" max="4868" width="16" customWidth="1"/>
    <col min="5119" max="5119" width="14.85546875" customWidth="1"/>
    <col min="5121" max="5124" width="16" customWidth="1"/>
    <col min="5375" max="5375" width="14.85546875" customWidth="1"/>
    <col min="5377" max="5380" width="16" customWidth="1"/>
    <col min="5631" max="5631" width="14.85546875" customWidth="1"/>
    <col min="5633" max="5636" width="16" customWidth="1"/>
    <col min="5887" max="5887" width="14.85546875" customWidth="1"/>
    <col min="5889" max="5892" width="16" customWidth="1"/>
    <col min="6143" max="6143" width="14.85546875" customWidth="1"/>
    <col min="6145" max="6148" width="16" customWidth="1"/>
    <col min="6399" max="6399" width="14.85546875" customWidth="1"/>
    <col min="6401" max="6404" width="16" customWidth="1"/>
    <col min="6655" max="6655" width="14.85546875" customWidth="1"/>
    <col min="6657" max="6660" width="16" customWidth="1"/>
    <col min="6911" max="6911" width="14.85546875" customWidth="1"/>
    <col min="6913" max="6916" width="16" customWidth="1"/>
    <col min="7167" max="7167" width="14.85546875" customWidth="1"/>
    <col min="7169" max="7172" width="16" customWidth="1"/>
    <col min="7423" max="7423" width="14.85546875" customWidth="1"/>
    <col min="7425" max="7428" width="16" customWidth="1"/>
    <col min="7679" max="7679" width="14.85546875" customWidth="1"/>
    <col min="7681" max="7684" width="16" customWidth="1"/>
    <col min="7935" max="7935" width="14.85546875" customWidth="1"/>
    <col min="7937" max="7940" width="16" customWidth="1"/>
    <col min="8191" max="8191" width="14.85546875" customWidth="1"/>
    <col min="8193" max="8196" width="16" customWidth="1"/>
    <col min="8447" max="8447" width="14.85546875" customWidth="1"/>
    <col min="8449" max="8452" width="16" customWidth="1"/>
    <col min="8703" max="8703" width="14.85546875" customWidth="1"/>
    <col min="8705" max="8708" width="16" customWidth="1"/>
    <col min="8959" max="8959" width="14.85546875" customWidth="1"/>
    <col min="8961" max="8964" width="16" customWidth="1"/>
    <col min="9215" max="9215" width="14.85546875" customWidth="1"/>
    <col min="9217" max="9220" width="16" customWidth="1"/>
    <col min="9471" max="9471" width="14.85546875" customWidth="1"/>
    <col min="9473" max="9476" width="16" customWidth="1"/>
    <col min="9727" max="9727" width="14.85546875" customWidth="1"/>
    <col min="9729" max="9732" width="16" customWidth="1"/>
    <col min="9983" max="9983" width="14.85546875" customWidth="1"/>
    <col min="9985" max="9988" width="16" customWidth="1"/>
    <col min="10239" max="10239" width="14.85546875" customWidth="1"/>
    <col min="10241" max="10244" width="16" customWidth="1"/>
    <col min="10495" max="10495" width="14.85546875" customWidth="1"/>
    <col min="10497" max="10500" width="16" customWidth="1"/>
    <col min="10751" max="10751" width="14.85546875" customWidth="1"/>
    <col min="10753" max="10756" width="16" customWidth="1"/>
    <col min="11007" max="11007" width="14.85546875" customWidth="1"/>
    <col min="11009" max="11012" width="16" customWidth="1"/>
    <col min="11263" max="11263" width="14.85546875" customWidth="1"/>
    <col min="11265" max="11268" width="16" customWidth="1"/>
    <col min="11519" max="11519" width="14.85546875" customWidth="1"/>
    <col min="11521" max="11524" width="16" customWidth="1"/>
    <col min="11775" max="11775" width="14.85546875" customWidth="1"/>
    <col min="11777" max="11780" width="16" customWidth="1"/>
    <col min="12031" max="12031" width="14.85546875" customWidth="1"/>
    <col min="12033" max="12036" width="16" customWidth="1"/>
    <col min="12287" max="12287" width="14.85546875" customWidth="1"/>
    <col min="12289" max="12292" width="16" customWidth="1"/>
    <col min="12543" max="12543" width="14.85546875" customWidth="1"/>
    <col min="12545" max="12548" width="16" customWidth="1"/>
    <col min="12799" max="12799" width="14.85546875" customWidth="1"/>
    <col min="12801" max="12804" width="16" customWidth="1"/>
    <col min="13055" max="13055" width="14.85546875" customWidth="1"/>
    <col min="13057" max="13060" width="16" customWidth="1"/>
    <col min="13311" max="13311" width="14.85546875" customWidth="1"/>
    <col min="13313" max="13316" width="16" customWidth="1"/>
    <col min="13567" max="13567" width="14.85546875" customWidth="1"/>
    <col min="13569" max="13572" width="16" customWidth="1"/>
    <col min="13823" max="13823" width="14.85546875" customWidth="1"/>
    <col min="13825" max="13828" width="16" customWidth="1"/>
    <col min="14079" max="14079" width="14.85546875" customWidth="1"/>
    <col min="14081" max="14084" width="16" customWidth="1"/>
    <col min="14335" max="14335" width="14.85546875" customWidth="1"/>
    <col min="14337" max="14340" width="16" customWidth="1"/>
    <col min="14591" max="14591" width="14.85546875" customWidth="1"/>
    <col min="14593" max="14596" width="16" customWidth="1"/>
    <col min="14847" max="14847" width="14.85546875" customWidth="1"/>
    <col min="14849" max="14852" width="16" customWidth="1"/>
    <col min="15103" max="15103" width="14.85546875" customWidth="1"/>
    <col min="15105" max="15108" width="16" customWidth="1"/>
    <col min="15359" max="15359" width="14.85546875" customWidth="1"/>
    <col min="15361" max="15364" width="16" customWidth="1"/>
    <col min="15615" max="15615" width="14.85546875" customWidth="1"/>
    <col min="15617" max="15620" width="16" customWidth="1"/>
    <col min="15871" max="15871" width="14.85546875" customWidth="1"/>
    <col min="15873" max="15876" width="16" customWidth="1"/>
    <col min="16127" max="16127" width="14.85546875" customWidth="1"/>
    <col min="16129" max="16132" width="16" customWidth="1"/>
  </cols>
  <sheetData>
    <row r="3" spans="3:10" ht="15" x14ac:dyDescent="0.2">
      <c r="C3" s="374" t="s">
        <v>3</v>
      </c>
      <c r="D3" s="374"/>
      <c r="E3" s="374"/>
      <c r="F3" s="374"/>
      <c r="G3" s="234"/>
      <c r="H3" s="234"/>
      <c r="I3" s="234"/>
      <c r="J3" s="234"/>
    </row>
    <row r="4" spans="3:10" ht="12.6" customHeight="1" x14ac:dyDescent="0.2">
      <c r="C4" s="375" t="s">
        <v>85</v>
      </c>
      <c r="D4" s="375" t="s">
        <v>86</v>
      </c>
      <c r="E4" s="375" t="s">
        <v>87</v>
      </c>
      <c r="F4" s="375" t="s">
        <v>89</v>
      </c>
      <c r="G4" s="234"/>
      <c r="H4" s="234"/>
      <c r="I4" s="234"/>
      <c r="J4" s="234"/>
    </row>
    <row r="5" spans="3:10" ht="13.5" thickBot="1" x14ac:dyDescent="0.25">
      <c r="C5" s="375"/>
      <c r="D5" s="375"/>
      <c r="E5" s="375"/>
      <c r="F5" s="375"/>
      <c r="G5" s="234"/>
      <c r="H5" s="234"/>
      <c r="I5" s="234"/>
      <c r="J5" s="234"/>
    </row>
    <row r="6" spans="3:10" ht="13.5" thickBot="1" x14ac:dyDescent="0.25">
      <c r="C6" s="235" t="s">
        <v>180</v>
      </c>
      <c r="D6" s="233">
        <f>'2) FST'!H9</f>
        <v>315.64</v>
      </c>
      <c r="E6" s="221">
        <f>'2) FST'!H45</f>
        <v>1.97049774972228</v>
      </c>
      <c r="F6" s="222">
        <f>D6*E6</f>
        <v>621.96790972234044</v>
      </c>
      <c r="G6" s="234"/>
      <c r="H6" s="234"/>
      <c r="I6" s="234"/>
      <c r="J6" s="234"/>
    </row>
    <row r="7" spans="3:10" ht="13.5" thickBot="1" x14ac:dyDescent="0.25">
      <c r="C7" s="236" t="s">
        <v>181</v>
      </c>
      <c r="D7" s="233">
        <f>'2) FST'!I9</f>
        <v>351.89</v>
      </c>
      <c r="E7" s="221">
        <f>'2) FST'!I$45</f>
        <v>1.9626184981653783</v>
      </c>
      <c r="F7" s="222">
        <f t="shared" ref="F7:F13" si="0">D7*E7</f>
        <v>690.62582331941496</v>
      </c>
      <c r="G7" s="234"/>
      <c r="H7" s="234"/>
      <c r="I7" s="234"/>
      <c r="J7" s="234"/>
    </row>
    <row r="8" spans="3:10" ht="13.5" thickBot="1" x14ac:dyDescent="0.25">
      <c r="C8" s="236" t="s">
        <v>206</v>
      </c>
      <c r="D8" s="233">
        <f>'2) FST'!I9</f>
        <v>351.89</v>
      </c>
      <c r="E8" s="221">
        <f>'2) FST'!I$45</f>
        <v>1.9626184981653783</v>
      </c>
      <c r="F8" s="222">
        <f t="shared" si="0"/>
        <v>690.62582331941496</v>
      </c>
      <c r="G8" s="234"/>
      <c r="H8" s="234"/>
      <c r="I8" s="234"/>
      <c r="J8" s="234"/>
    </row>
    <row r="9" spans="3:10" ht="13.5" thickBot="1" x14ac:dyDescent="0.25">
      <c r="C9" s="236" t="s">
        <v>207</v>
      </c>
      <c r="D9" s="233">
        <f>'2) FST'!I9</f>
        <v>351.89</v>
      </c>
      <c r="E9" s="221">
        <f>'2) FST'!I$45</f>
        <v>1.9626184981653783</v>
      </c>
      <c r="F9" s="222">
        <f t="shared" si="0"/>
        <v>690.62582331941496</v>
      </c>
      <c r="G9" s="234"/>
      <c r="H9" s="234"/>
      <c r="I9" s="234"/>
      <c r="J9" s="234"/>
    </row>
    <row r="10" spans="3:10" ht="13.5" thickBot="1" x14ac:dyDescent="0.25">
      <c r="C10" s="236" t="s">
        <v>208</v>
      </c>
      <c r="D10" s="233">
        <f>'2) FST'!I9</f>
        <v>351.89</v>
      </c>
      <c r="E10" s="221">
        <f>'2) FST'!I$45</f>
        <v>1.9626184981653783</v>
      </c>
      <c r="F10" s="222">
        <f t="shared" si="0"/>
        <v>690.62582331941496</v>
      </c>
      <c r="G10" s="234"/>
      <c r="H10" s="234"/>
      <c r="I10" s="234"/>
      <c r="J10" s="234"/>
    </row>
    <row r="11" spans="3:10" ht="13.5" thickBot="1" x14ac:dyDescent="0.25">
      <c r="C11" s="236" t="s">
        <v>173</v>
      </c>
      <c r="D11" s="233">
        <f>'2) FST'!J9</f>
        <v>543.83000000000004</v>
      </c>
      <c r="E11" s="221">
        <f>'2) FST'!J45</f>
        <v>1.9552757209655827</v>
      </c>
      <c r="F11" s="222">
        <f t="shared" si="0"/>
        <v>1063.3375953327129</v>
      </c>
      <c r="G11" s="234"/>
      <c r="H11" s="234"/>
      <c r="I11" s="234"/>
      <c r="J11" s="234"/>
    </row>
    <row r="12" spans="3:10" ht="13.5" thickBot="1" x14ac:dyDescent="0.25">
      <c r="C12" s="236" t="s">
        <v>182</v>
      </c>
      <c r="D12" s="233">
        <f>'2) FST'!G9</f>
        <v>315.04000000000002</v>
      </c>
      <c r="E12" s="221">
        <f>'2) FST'!G45</f>
        <v>1.9706434194914797</v>
      </c>
      <c r="F12" s="222">
        <f t="shared" si="0"/>
        <v>620.83150287659578</v>
      </c>
      <c r="G12" s="373" t="s">
        <v>179</v>
      </c>
      <c r="H12" s="373"/>
      <c r="I12" s="373"/>
      <c r="J12" s="373"/>
    </row>
    <row r="13" spans="3:10" ht="23.25" thickBot="1" x14ac:dyDescent="0.25">
      <c r="C13" s="236" t="s">
        <v>183</v>
      </c>
      <c r="D13" s="233">
        <f>'2) FST'!G9</f>
        <v>315.04000000000002</v>
      </c>
      <c r="E13" s="221">
        <f>E12</f>
        <v>1.9706434194914797</v>
      </c>
      <c r="F13" s="222">
        <f t="shared" si="0"/>
        <v>620.83150287659578</v>
      </c>
      <c r="G13" s="373" t="s">
        <v>179</v>
      </c>
      <c r="H13" s="373"/>
      <c r="I13" s="373"/>
      <c r="J13" s="373"/>
    </row>
  </sheetData>
  <mergeCells count="7">
    <mergeCell ref="G13:J13"/>
    <mergeCell ref="G12:J12"/>
    <mergeCell ref="C3:F3"/>
    <mergeCell ref="C4:C5"/>
    <mergeCell ref="D4:D5"/>
    <mergeCell ref="E4:E5"/>
    <mergeCell ref="F4:F5"/>
  </mergeCells>
  <pageMargins left="0.98425196850393704" right="0.59055118110236227" top="0.59055118110236227" bottom="0.59055118110236227" header="0" footer="0"/>
  <pageSetup scale="7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27F6-0DC9-4CD7-98F8-E38D2584F67B}">
  <sheetPr codeName="Hoja4">
    <tabColor rgb="FFFF0000"/>
    <pageSetUpPr fitToPage="1"/>
  </sheetPr>
  <dimension ref="A1:P58"/>
  <sheetViews>
    <sheetView topLeftCell="E29" zoomScale="90" zoomScaleNormal="90" workbookViewId="0">
      <selection activeCell="J52" sqref="J52:P57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  <col min="15" max="15" width="46.7109375" customWidth="1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69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191</v>
      </c>
    </row>
    <row r="12" spans="1:8" ht="4.5" customHeight="1" thickTop="1" thickBot="1" x14ac:dyDescent="0.25"/>
    <row r="13" spans="1:8" ht="18.75" customHeight="1" thickTop="1" thickBot="1" x14ac:dyDescent="0.25">
      <c r="A13" s="119">
        <f>Catalogo!A12</f>
        <v>1</v>
      </c>
      <c r="B13" s="338" t="s">
        <v>6</v>
      </c>
      <c r="C13" s="340" t="s">
        <v>209</v>
      </c>
      <c r="D13" s="340"/>
      <c r="E13" s="340"/>
      <c r="F13" s="341"/>
      <c r="G13" s="54" t="s">
        <v>0</v>
      </c>
      <c r="H13" s="54" t="s">
        <v>172</v>
      </c>
    </row>
    <row r="14" spans="1:8" ht="15.75" customHeight="1" thickBot="1" x14ac:dyDescent="0.25">
      <c r="A14" s="1"/>
      <c r="B14" s="339"/>
      <c r="C14" s="342"/>
      <c r="D14" s="342"/>
      <c r="E14" s="342"/>
      <c r="F14" s="343"/>
      <c r="G14" s="55" t="s">
        <v>1</v>
      </c>
      <c r="H14" s="57">
        <v>1</v>
      </c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hidden="1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8" ht="14.25" hidden="1" customHeight="1" thickTop="1" thickBot="1" x14ac:dyDescent="0.25">
      <c r="A17" s="376"/>
      <c r="B17" s="377"/>
      <c r="C17" s="377"/>
      <c r="D17" s="377"/>
      <c r="E17" s="61"/>
      <c r="F17" s="120"/>
      <c r="G17" s="94"/>
      <c r="H17" s="62"/>
    </row>
    <row r="18" spans="1:8" ht="14.25" hidden="1" customHeight="1" thickTop="1" thickBot="1" x14ac:dyDescent="0.25">
      <c r="A18" s="376"/>
      <c r="B18" s="377"/>
      <c r="C18" s="377"/>
      <c r="D18" s="377"/>
      <c r="E18" s="61"/>
      <c r="F18" s="120"/>
      <c r="G18" s="94"/>
      <c r="H18" s="62"/>
    </row>
    <row r="19" spans="1:8" ht="14.25" hidden="1" customHeight="1" thickTop="1" thickBot="1" x14ac:dyDescent="0.25">
      <c r="A19" s="376"/>
      <c r="B19" s="377"/>
      <c r="C19" s="377"/>
      <c r="D19" s="377"/>
      <c r="E19" s="61"/>
      <c r="F19" s="93"/>
      <c r="G19" s="94"/>
      <c r="H19" s="62"/>
    </row>
    <row r="20" spans="1:8" ht="14.25" hidden="1" customHeight="1" thickTop="1" thickBot="1" x14ac:dyDescent="0.25">
      <c r="A20" s="376"/>
      <c r="B20" s="377"/>
      <c r="C20" s="377"/>
      <c r="D20" s="377"/>
      <c r="E20" s="61"/>
      <c r="F20" s="93"/>
      <c r="G20" s="94"/>
      <c r="H20" s="62"/>
    </row>
    <row r="21" spans="1:8" ht="14.25" hidden="1" customHeight="1" thickTop="1" thickBot="1" x14ac:dyDescent="0.25">
      <c r="A21" s="376"/>
      <c r="B21" s="377"/>
      <c r="C21" s="377"/>
      <c r="D21" s="377"/>
      <c r="E21" s="61"/>
      <c r="F21" s="93"/>
      <c r="G21" s="94"/>
      <c r="H21" s="62"/>
    </row>
    <row r="22" spans="1:8" ht="14.25" hidden="1" customHeight="1" thickBot="1" x14ac:dyDescent="0.25">
      <c r="A22" s="381"/>
      <c r="B22" s="382"/>
      <c r="C22" s="382"/>
      <c r="D22" s="382"/>
      <c r="E22" s="61"/>
      <c r="F22" s="93"/>
      <c r="G22" s="94"/>
      <c r="H22" s="62"/>
    </row>
    <row r="23" spans="1:8" ht="14.25" hidden="1" customHeight="1" thickBot="1" x14ac:dyDescent="0.25">
      <c r="A23" s="378"/>
      <c r="B23" s="379"/>
      <c r="C23" s="379"/>
      <c r="D23" s="380"/>
      <c r="E23" s="91"/>
      <c r="F23" s="93"/>
      <c r="G23" s="94"/>
      <c r="H23" s="62"/>
    </row>
    <row r="24" spans="1:8" ht="14.25" hidden="1" customHeight="1" thickBot="1" x14ac:dyDescent="0.25">
      <c r="A24" s="381"/>
      <c r="B24" s="382"/>
      <c r="C24" s="382"/>
      <c r="D24" s="382"/>
      <c r="E24" s="61"/>
      <c r="F24" s="93"/>
      <c r="G24" s="94"/>
      <c r="H24" s="62"/>
    </row>
    <row r="25" spans="1:8" ht="14.25" hidden="1" customHeight="1" thickBot="1" x14ac:dyDescent="0.25">
      <c r="A25" s="383"/>
      <c r="B25" s="384"/>
      <c r="C25" s="384"/>
      <c r="D25" s="384"/>
      <c r="E25" s="98"/>
      <c r="F25" s="99"/>
      <c r="G25" s="100"/>
      <c r="H25" s="101"/>
    </row>
    <row r="26" spans="1:8" ht="14.25" hidden="1" customHeight="1" thickBot="1" x14ac:dyDescent="0.25">
      <c r="A26" s="378"/>
      <c r="B26" s="379"/>
      <c r="C26" s="379"/>
      <c r="D26" s="380"/>
      <c r="E26" s="90"/>
      <c r="F26" s="92"/>
      <c r="G26" s="91"/>
      <c r="H26" s="62"/>
    </row>
    <row r="27" spans="1:8" ht="14.25" hidden="1" customHeight="1" thickBot="1" x14ac:dyDescent="0.25">
      <c r="A27" s="378"/>
      <c r="B27" s="379"/>
      <c r="C27" s="379"/>
      <c r="D27" s="380"/>
      <c r="E27" s="90"/>
      <c r="F27" s="92"/>
      <c r="G27" s="91"/>
      <c r="H27" s="62"/>
    </row>
    <row r="28" spans="1:8" ht="12" hidden="1" customHeight="1" thickBot="1" x14ac:dyDescent="0.25">
      <c r="A28" s="318"/>
      <c r="B28" s="319"/>
      <c r="C28" s="319"/>
      <c r="D28" s="319"/>
      <c r="E28" s="320"/>
      <c r="F28" s="65" t="s">
        <v>11</v>
      </c>
      <c r="G28" s="11"/>
      <c r="H28" s="66">
        <f>SUM(H17:H27)</f>
        <v>0</v>
      </c>
    </row>
    <row r="29" spans="1:8" ht="12" customHeight="1" thickTop="1" thickBot="1" x14ac:dyDescent="0.25">
      <c r="A29" s="300" t="s">
        <v>3</v>
      </c>
      <c r="B29" s="301"/>
      <c r="C29" s="3"/>
      <c r="D29" s="3"/>
      <c r="E29" s="3"/>
      <c r="F29" s="3"/>
      <c r="G29" s="3"/>
      <c r="H29" s="4"/>
    </row>
    <row r="30" spans="1:8" ht="12" customHeight="1" thickTop="1" thickBot="1" x14ac:dyDescent="0.25">
      <c r="A30" s="13" t="s">
        <v>12</v>
      </c>
      <c r="B30" s="5"/>
      <c r="C30" s="5" t="s">
        <v>0</v>
      </c>
      <c r="D30" s="6" t="s">
        <v>13</v>
      </c>
      <c r="E30" s="5" t="s">
        <v>14</v>
      </c>
      <c r="F30" s="6" t="s">
        <v>15</v>
      </c>
      <c r="G30" s="5" t="s">
        <v>16</v>
      </c>
      <c r="H30" s="6" t="s">
        <v>17</v>
      </c>
    </row>
    <row r="31" spans="1:8" ht="12" customHeight="1" thickTop="1" thickBot="1" x14ac:dyDescent="0.25">
      <c r="A31" s="376" t="str">
        <f>Salarios!C11</f>
        <v>CABO DE OFICIO</v>
      </c>
      <c r="B31" s="377"/>
      <c r="C31" s="67" t="s">
        <v>63</v>
      </c>
      <c r="D31" s="115">
        <f>Salarios!F11</f>
        <v>1063.3375953327129</v>
      </c>
      <c r="E31" s="227">
        <f>2/10</f>
        <v>0.2</v>
      </c>
      <c r="F31" s="68">
        <f>+D31*E31</f>
        <v>212.66751906654258</v>
      </c>
      <c r="G31" s="64">
        <v>1</v>
      </c>
      <c r="H31" s="89">
        <f>F31/G31</f>
        <v>212.66751906654258</v>
      </c>
    </row>
    <row r="32" spans="1:8" ht="12" customHeight="1" thickTop="1" thickBot="1" x14ac:dyDescent="0.25">
      <c r="A32" s="376" t="str">
        <f>Salarios!C7</f>
        <v xml:space="preserve">OFICIAL PINTOR </v>
      </c>
      <c r="B32" s="377"/>
      <c r="C32" s="70" t="s">
        <v>63</v>
      </c>
      <c r="D32" s="115">
        <f>Salarios!F7</f>
        <v>690.62582331941496</v>
      </c>
      <c r="E32" s="61">
        <v>1</v>
      </c>
      <c r="F32" s="71">
        <f>+D32*E32</f>
        <v>690.62582331941496</v>
      </c>
      <c r="G32" s="72">
        <v>1</v>
      </c>
      <c r="H32" s="89">
        <f t="shared" ref="H32:H33" si="0">F32/G32</f>
        <v>690.62582331941496</v>
      </c>
    </row>
    <row r="33" spans="1:8" ht="12" customHeight="1" thickTop="1" thickBot="1" x14ac:dyDescent="0.25">
      <c r="A33" s="389" t="str">
        <f>Salarios!C6</f>
        <v>AYUDANTE OFICIAL</v>
      </c>
      <c r="B33" s="390"/>
      <c r="C33" s="102" t="s">
        <v>63</v>
      </c>
      <c r="D33" s="115">
        <f>Salarios!F6</f>
        <v>621.96790972234044</v>
      </c>
      <c r="E33" s="91">
        <v>1</v>
      </c>
      <c r="F33" s="71">
        <f>+D33*E33</f>
        <v>621.96790972234044</v>
      </c>
      <c r="G33" s="72">
        <v>1</v>
      </c>
      <c r="H33" s="89">
        <f t="shared" si="0"/>
        <v>621.96790972234044</v>
      </c>
    </row>
    <row r="34" spans="1:8" ht="12" customHeight="1" thickTop="1" thickBot="1" x14ac:dyDescent="0.25">
      <c r="A34" s="14"/>
      <c r="B34" s="15"/>
      <c r="C34" s="15"/>
      <c r="D34" s="15"/>
      <c r="E34" s="9"/>
      <c r="F34" s="12" t="s">
        <v>18</v>
      </c>
      <c r="G34" s="5"/>
      <c r="H34" s="16">
        <f>SUM(H31:H33)</f>
        <v>1525.2612521082979</v>
      </c>
    </row>
    <row r="35" spans="1:8" ht="12" hidden="1" customHeight="1" thickTop="1" thickBot="1" x14ac:dyDescent="0.25">
      <c r="A35" s="309" t="s">
        <v>19</v>
      </c>
      <c r="B35" s="310"/>
      <c r="C35" s="310"/>
      <c r="D35" s="310"/>
      <c r="E35" s="85"/>
      <c r="F35" s="85"/>
      <c r="G35" s="85"/>
      <c r="H35" s="86"/>
    </row>
    <row r="36" spans="1:8" ht="12" hidden="1" customHeight="1" thickBot="1" x14ac:dyDescent="0.25">
      <c r="A36" s="311" t="s">
        <v>7</v>
      </c>
      <c r="B36" s="312"/>
      <c r="C36" s="312"/>
      <c r="D36" s="313"/>
      <c r="E36" s="122" t="s">
        <v>0</v>
      </c>
      <c r="F36" s="122" t="s">
        <v>20</v>
      </c>
      <c r="G36" s="122" t="s">
        <v>21</v>
      </c>
      <c r="H36" s="88" t="s">
        <v>22</v>
      </c>
    </row>
    <row r="37" spans="1:8" ht="21.95" hidden="1" customHeight="1" thickTop="1" thickBot="1" x14ac:dyDescent="0.25">
      <c r="A37" s="385"/>
      <c r="B37" s="386"/>
      <c r="C37" s="386"/>
      <c r="D37" s="386"/>
      <c r="E37" s="218"/>
      <c r="F37" s="218"/>
      <c r="G37" s="219"/>
      <c r="H37" s="60"/>
    </row>
    <row r="38" spans="1:8" ht="12" hidden="1" customHeight="1" thickTop="1" thickBot="1" x14ac:dyDescent="0.25">
      <c r="A38" s="387"/>
      <c r="B38" s="388"/>
      <c r="C38" s="388"/>
      <c r="D38" s="388"/>
      <c r="E38" s="218"/>
      <c r="F38" s="218"/>
      <c r="G38" s="219"/>
      <c r="H38" s="60"/>
    </row>
    <row r="39" spans="1:8" ht="12" hidden="1" customHeight="1" thickTop="1" thickBot="1" x14ac:dyDescent="0.25">
      <c r="A39" s="387"/>
      <c r="B39" s="388"/>
      <c r="C39" s="388"/>
      <c r="D39" s="388"/>
      <c r="E39" s="218"/>
      <c r="F39" s="218"/>
      <c r="G39" s="219"/>
      <c r="H39" s="60"/>
    </row>
    <row r="40" spans="1:8" ht="12" hidden="1" customHeight="1" thickTop="1" thickBot="1" x14ac:dyDescent="0.25">
      <c r="A40" s="387"/>
      <c r="B40" s="388"/>
      <c r="C40" s="388"/>
      <c r="D40" s="388"/>
      <c r="E40" s="218"/>
      <c r="F40" s="218"/>
      <c r="G40" s="219"/>
      <c r="H40" s="60"/>
    </row>
    <row r="41" spans="1:8" ht="12" hidden="1" customHeight="1" thickBot="1" x14ac:dyDescent="0.25">
      <c r="A41" s="17"/>
      <c r="B41" s="18"/>
      <c r="C41" s="18"/>
      <c r="D41" s="18"/>
      <c r="E41" s="6"/>
      <c r="F41" s="117" t="s">
        <v>23</v>
      </c>
      <c r="G41" s="87"/>
      <c r="H41" s="217">
        <f>SUM(H37:H40)</f>
        <v>0</v>
      </c>
    </row>
    <row r="42" spans="1:8" ht="12" customHeight="1" thickTop="1" thickBot="1" x14ac:dyDescent="0.25">
      <c r="A42" s="300" t="s">
        <v>24</v>
      </c>
      <c r="B42" s="301"/>
      <c r="C42" s="301"/>
      <c r="D42" s="301"/>
      <c r="E42" s="3"/>
      <c r="F42" s="3"/>
      <c r="G42" s="3"/>
      <c r="H42" s="4"/>
    </row>
    <row r="43" spans="1:8" ht="12" customHeight="1" thickTop="1" thickBot="1" x14ac:dyDescent="0.25">
      <c r="A43" s="316" t="s">
        <v>25</v>
      </c>
      <c r="B43" s="317"/>
      <c r="C43" s="19"/>
      <c r="D43" s="19"/>
      <c r="E43" s="20"/>
      <c r="F43" s="21" t="s">
        <v>26</v>
      </c>
      <c r="G43" s="6" t="s">
        <v>27</v>
      </c>
      <c r="H43" s="6" t="s">
        <v>28</v>
      </c>
    </row>
    <row r="44" spans="1:8" ht="12" customHeight="1" thickTop="1" thickBot="1" x14ac:dyDescent="0.25">
      <c r="A44" s="17"/>
      <c r="B44" s="18"/>
      <c r="C44" s="18"/>
      <c r="D44" s="18"/>
      <c r="E44" s="6"/>
      <c r="F44" s="77"/>
      <c r="G44" s="78"/>
      <c r="H44" s="69">
        <f>+F44*G44</f>
        <v>0</v>
      </c>
    </row>
    <row r="45" spans="1:8" ht="12" customHeight="1" thickTop="1" thickBot="1" x14ac:dyDescent="0.25">
      <c r="A45" s="298" t="s">
        <v>29</v>
      </c>
      <c r="B45" s="299"/>
      <c r="C45" s="22"/>
      <c r="D45" s="22"/>
      <c r="E45" s="23"/>
      <c r="F45" s="79" t="s">
        <v>30</v>
      </c>
      <c r="G45" s="80" t="s">
        <v>27</v>
      </c>
      <c r="H45" s="81" t="s">
        <v>31</v>
      </c>
    </row>
    <row r="46" spans="1:8" ht="12" customHeight="1" thickBot="1" x14ac:dyDescent="0.25">
      <c r="A46" s="13"/>
      <c r="B46" s="12"/>
      <c r="C46" s="12"/>
      <c r="D46" s="12"/>
      <c r="E46" s="5"/>
      <c r="F46" s="82"/>
      <c r="G46" s="76"/>
      <c r="H46" s="75">
        <f>+F46*G46</f>
        <v>0</v>
      </c>
    </row>
    <row r="47" spans="1:8" ht="12" customHeight="1" thickTop="1" thickBot="1" x14ac:dyDescent="0.25">
      <c r="A47" s="10"/>
      <c r="B47" s="7"/>
      <c r="C47" s="7"/>
      <c r="D47" s="7"/>
      <c r="E47" s="8"/>
      <c r="F47" s="18" t="s">
        <v>32</v>
      </c>
      <c r="G47" s="6"/>
      <c r="H47" s="16">
        <f>+H44+H46</f>
        <v>0</v>
      </c>
    </row>
    <row r="48" spans="1:8" ht="12" customHeight="1" thickTop="1" thickBot="1" x14ac:dyDescent="0.25">
      <c r="A48" s="291" t="s">
        <v>33</v>
      </c>
      <c r="B48" s="292"/>
      <c r="C48" s="292"/>
      <c r="D48" s="292"/>
      <c r="E48" s="292"/>
      <c r="F48" s="292"/>
      <c r="G48" s="6"/>
      <c r="H48" s="16">
        <f>+H28+H34+H41+H47</f>
        <v>1525.2612521082979</v>
      </c>
    </row>
    <row r="49" spans="10:16" ht="13.5" thickTop="1" x14ac:dyDescent="0.2"/>
    <row r="52" spans="10:16" x14ac:dyDescent="0.2">
      <c r="J52" s="392" t="s">
        <v>176</v>
      </c>
      <c r="K52" s="392"/>
      <c r="L52" s="392"/>
      <c r="M52" s="392"/>
      <c r="N52" s="392"/>
      <c r="O52" s="392"/>
      <c r="P52" s="392"/>
    </row>
    <row r="53" spans="10:16" x14ac:dyDescent="0.2">
      <c r="J53" s="231" t="s">
        <v>177</v>
      </c>
      <c r="K53" s="392" t="s">
        <v>7</v>
      </c>
      <c r="L53" s="392"/>
      <c r="M53" s="392"/>
      <c r="N53" s="392"/>
      <c r="O53" s="392"/>
      <c r="P53" s="231" t="s">
        <v>178</v>
      </c>
    </row>
    <row r="54" spans="10:16" x14ac:dyDescent="0.2">
      <c r="J54" s="243" t="s">
        <v>188</v>
      </c>
      <c r="K54" s="391" t="str">
        <f>C13</f>
        <v>CUADRILLA no.1 PINTURA (0.2 DE CABO DE OF. + 1 OF.  PINTORES + 1 AYUD. OFICIAL )</v>
      </c>
      <c r="L54" s="391"/>
      <c r="M54" s="391"/>
      <c r="N54" s="391"/>
      <c r="O54" s="391"/>
      <c r="P54" s="232">
        <f>H48</f>
        <v>1525.2612521082979</v>
      </c>
    </row>
    <row r="55" spans="10:16" x14ac:dyDescent="0.2">
      <c r="J55" s="243" t="s">
        <v>189</v>
      </c>
      <c r="K55" s="391" t="str">
        <f>'CUADR 2'!C13</f>
        <v>CUADRILLA no.2 ALBAÑILERIA (0.2 DE CABO DE OF. +  1 OF. ALBAÑIL + 1  AY. OFICIALES)</v>
      </c>
      <c r="L55" s="391"/>
      <c r="M55" s="391"/>
      <c r="N55" s="391"/>
      <c r="O55" s="391"/>
      <c r="P55" s="232">
        <f>'CUADR 2'!H48</f>
        <v>1525.2612521082979</v>
      </c>
    </row>
    <row r="56" spans="10:16" x14ac:dyDescent="0.2">
      <c r="J56" s="243" t="s">
        <v>190</v>
      </c>
      <c r="K56" s="391" t="str">
        <f>'CUADR 3'!C13</f>
        <v>CUADRILLA no.3 AISLAMIENTOS  (0.3 DE CABO DE OF  1 OF.  AISLADOR  + 2 AYUD OFICIAL.)</v>
      </c>
      <c r="L56" s="391"/>
      <c r="M56" s="391"/>
      <c r="N56" s="391"/>
      <c r="O56" s="391"/>
      <c r="P56" s="232">
        <f>'CUADR 3'!H48</f>
        <v>2253.5629213639095</v>
      </c>
    </row>
    <row r="57" spans="10:16" x14ac:dyDescent="0.2">
      <c r="J57" s="243" t="s">
        <v>192</v>
      </c>
      <c r="K57" s="391" t="str">
        <f>'CUADR 4'!C13</f>
        <v>CUADRILLA no.4 LAMINEROS  (0.6 DE CABO DE OF  2 OF.  LAMINEROS  + 2 AYUD OFICIAL+ 2 AYUDANTES GENERALES.)</v>
      </c>
      <c r="L57" s="391"/>
      <c r="M57" s="391"/>
      <c r="N57" s="391"/>
      <c r="O57" s="391"/>
      <c r="P57" s="232">
        <f>'CUADR 4'!H49</f>
        <v>4504.8530290363306</v>
      </c>
    </row>
    <row r="58" spans="10:16" x14ac:dyDescent="0.2">
      <c r="P58" s="230"/>
    </row>
  </sheetData>
  <mergeCells count="46">
    <mergeCell ref="K57:O57"/>
    <mergeCell ref="K56:O56"/>
    <mergeCell ref="J52:P52"/>
    <mergeCell ref="K53:O53"/>
    <mergeCell ref="K54:O54"/>
    <mergeCell ref="K55:O55"/>
    <mergeCell ref="A33:B33"/>
    <mergeCell ref="A40:D40"/>
    <mergeCell ref="A42:D42"/>
    <mergeCell ref="A43:B43"/>
    <mergeCell ref="A45:B45"/>
    <mergeCell ref="A48:F48"/>
    <mergeCell ref="A35:D35"/>
    <mergeCell ref="A36:D36"/>
    <mergeCell ref="A37:D37"/>
    <mergeCell ref="A38:D38"/>
    <mergeCell ref="A39:D39"/>
    <mergeCell ref="A29:B29"/>
    <mergeCell ref="A31:B31"/>
    <mergeCell ref="A21:D21"/>
    <mergeCell ref="A22:D22"/>
    <mergeCell ref="A23:D23"/>
    <mergeCell ref="A24:D24"/>
    <mergeCell ref="A25:D25"/>
    <mergeCell ref="A32:B32"/>
    <mergeCell ref="A20:D20"/>
    <mergeCell ref="A6:C9"/>
    <mergeCell ref="D6:F9"/>
    <mergeCell ref="G6:H9"/>
    <mergeCell ref="A10:G11"/>
    <mergeCell ref="B13:B14"/>
    <mergeCell ref="C13:F14"/>
    <mergeCell ref="A15:B15"/>
    <mergeCell ref="A16:D16"/>
    <mergeCell ref="A17:D17"/>
    <mergeCell ref="A18:D18"/>
    <mergeCell ref="A19:D19"/>
    <mergeCell ref="A26:D26"/>
    <mergeCell ref="A27:D27"/>
    <mergeCell ref="A28:E28"/>
    <mergeCell ref="A1:B5"/>
    <mergeCell ref="C1:E1"/>
    <mergeCell ref="D2:G2"/>
    <mergeCell ref="C3:E3"/>
    <mergeCell ref="C4:C5"/>
    <mergeCell ref="D4:G5"/>
  </mergeCells>
  <printOptions horizontalCentered="1" verticalCentered="1"/>
  <pageMargins left="0.43307086614173229" right="0.35433070866141736" top="0.41" bottom="0.42" header="0.33" footer="0.36"/>
  <pageSetup scale="4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C81B-DE3A-42C8-9DE2-95BA50CDECBE}">
  <sheetPr codeName="Hoja5">
    <tabColor rgb="FFFF0000"/>
    <pageSetUpPr fitToPage="1"/>
  </sheetPr>
  <dimension ref="A1:H49"/>
  <sheetViews>
    <sheetView topLeftCell="A7" zoomScale="90" zoomScaleNormal="90" workbookViewId="0">
      <selection activeCell="C13" sqref="C13:F14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70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191</v>
      </c>
    </row>
    <row r="12" spans="1:8" ht="4.5" customHeight="1" thickTop="1" thickBot="1" x14ac:dyDescent="0.25"/>
    <row r="13" spans="1:8" ht="18.75" customHeight="1" thickTop="1" thickBot="1" x14ac:dyDescent="0.25">
      <c r="A13" s="119">
        <f>Catalogo!A12</f>
        <v>1</v>
      </c>
      <c r="B13" s="338" t="s">
        <v>6</v>
      </c>
      <c r="C13" s="340" t="s">
        <v>264</v>
      </c>
      <c r="D13" s="340"/>
      <c r="E13" s="340"/>
      <c r="F13" s="341"/>
      <c r="G13" s="54" t="s">
        <v>0</v>
      </c>
      <c r="H13" s="54" t="s">
        <v>172</v>
      </c>
    </row>
    <row r="14" spans="1:8" ht="15.75" customHeight="1" thickBot="1" x14ac:dyDescent="0.25">
      <c r="A14" s="1"/>
      <c r="B14" s="339"/>
      <c r="C14" s="342"/>
      <c r="D14" s="342"/>
      <c r="E14" s="342"/>
      <c r="F14" s="343"/>
      <c r="G14" s="55" t="s">
        <v>1</v>
      </c>
      <c r="H14" s="57">
        <v>1</v>
      </c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hidden="1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8" ht="14.25" hidden="1" customHeight="1" thickTop="1" thickBot="1" x14ac:dyDescent="0.25">
      <c r="A17" s="376"/>
      <c r="B17" s="377"/>
      <c r="C17" s="377"/>
      <c r="D17" s="377"/>
      <c r="E17" s="61"/>
      <c r="F17" s="120"/>
      <c r="G17" s="94"/>
      <c r="H17" s="62"/>
    </row>
    <row r="18" spans="1:8" ht="14.25" hidden="1" customHeight="1" thickTop="1" thickBot="1" x14ac:dyDescent="0.25">
      <c r="A18" s="376"/>
      <c r="B18" s="377"/>
      <c r="C18" s="377"/>
      <c r="D18" s="377"/>
      <c r="E18" s="61"/>
      <c r="F18" s="120"/>
      <c r="G18" s="94"/>
      <c r="H18" s="62"/>
    </row>
    <row r="19" spans="1:8" ht="14.25" hidden="1" customHeight="1" thickTop="1" thickBot="1" x14ac:dyDescent="0.25">
      <c r="A19" s="376"/>
      <c r="B19" s="377"/>
      <c r="C19" s="377"/>
      <c r="D19" s="377"/>
      <c r="E19" s="61"/>
      <c r="F19" s="93"/>
      <c r="G19" s="94"/>
      <c r="H19" s="62"/>
    </row>
    <row r="20" spans="1:8" ht="14.25" hidden="1" customHeight="1" thickTop="1" thickBot="1" x14ac:dyDescent="0.25">
      <c r="A20" s="376"/>
      <c r="B20" s="377"/>
      <c r="C20" s="377"/>
      <c r="D20" s="377"/>
      <c r="E20" s="61"/>
      <c r="F20" s="93"/>
      <c r="G20" s="94"/>
      <c r="H20" s="62"/>
    </row>
    <row r="21" spans="1:8" ht="14.25" hidden="1" customHeight="1" thickTop="1" thickBot="1" x14ac:dyDescent="0.25">
      <c r="A21" s="376"/>
      <c r="B21" s="377"/>
      <c r="C21" s="377"/>
      <c r="D21" s="377"/>
      <c r="E21" s="61"/>
      <c r="F21" s="93"/>
      <c r="G21" s="94"/>
      <c r="H21" s="62"/>
    </row>
    <row r="22" spans="1:8" ht="14.25" hidden="1" customHeight="1" thickBot="1" x14ac:dyDescent="0.25">
      <c r="A22" s="381"/>
      <c r="B22" s="382"/>
      <c r="C22" s="382"/>
      <c r="D22" s="382"/>
      <c r="E22" s="61"/>
      <c r="F22" s="93"/>
      <c r="G22" s="94"/>
      <c r="H22" s="62"/>
    </row>
    <row r="23" spans="1:8" ht="14.25" hidden="1" customHeight="1" thickBot="1" x14ac:dyDescent="0.25">
      <c r="A23" s="378"/>
      <c r="B23" s="379"/>
      <c r="C23" s="379"/>
      <c r="D23" s="380"/>
      <c r="E23" s="91"/>
      <c r="F23" s="93"/>
      <c r="G23" s="94"/>
      <c r="H23" s="62"/>
    </row>
    <row r="24" spans="1:8" ht="14.25" hidden="1" customHeight="1" thickBot="1" x14ac:dyDescent="0.25">
      <c r="A24" s="381"/>
      <c r="B24" s="382"/>
      <c r="C24" s="382"/>
      <c r="D24" s="382"/>
      <c r="E24" s="61"/>
      <c r="F24" s="93"/>
      <c r="G24" s="94"/>
      <c r="H24" s="62"/>
    </row>
    <row r="25" spans="1:8" ht="14.25" hidden="1" customHeight="1" thickBot="1" x14ac:dyDescent="0.25">
      <c r="A25" s="383"/>
      <c r="B25" s="384"/>
      <c r="C25" s="384"/>
      <c r="D25" s="384"/>
      <c r="E25" s="98"/>
      <c r="F25" s="99"/>
      <c r="G25" s="100"/>
      <c r="H25" s="101"/>
    </row>
    <row r="26" spans="1:8" ht="14.25" hidden="1" customHeight="1" thickBot="1" x14ac:dyDescent="0.25">
      <c r="A26" s="378"/>
      <c r="B26" s="379"/>
      <c r="C26" s="379"/>
      <c r="D26" s="380"/>
      <c r="E26" s="90"/>
      <c r="F26" s="92"/>
      <c r="G26" s="91"/>
      <c r="H26" s="62"/>
    </row>
    <row r="27" spans="1:8" ht="14.25" hidden="1" customHeight="1" thickBot="1" x14ac:dyDescent="0.25">
      <c r="A27" s="378"/>
      <c r="B27" s="379"/>
      <c r="C27" s="379"/>
      <c r="D27" s="380"/>
      <c r="E27" s="90"/>
      <c r="F27" s="92"/>
      <c r="G27" s="91"/>
      <c r="H27" s="62"/>
    </row>
    <row r="28" spans="1:8" ht="12" hidden="1" customHeight="1" thickBot="1" x14ac:dyDescent="0.25">
      <c r="A28" s="318"/>
      <c r="B28" s="319"/>
      <c r="C28" s="319"/>
      <c r="D28" s="319"/>
      <c r="E28" s="320"/>
      <c r="F28" s="65" t="s">
        <v>11</v>
      </c>
      <c r="G28" s="11"/>
      <c r="H28" s="66">
        <f>SUM(H17:H27)</f>
        <v>0</v>
      </c>
    </row>
    <row r="29" spans="1:8" ht="12" customHeight="1" thickTop="1" thickBot="1" x14ac:dyDescent="0.25">
      <c r="A29" s="300" t="s">
        <v>3</v>
      </c>
      <c r="B29" s="301"/>
      <c r="C29" s="3"/>
      <c r="D29" s="3"/>
      <c r="E29" s="3"/>
      <c r="F29" s="3"/>
      <c r="G29" s="3"/>
      <c r="H29" s="4"/>
    </row>
    <row r="30" spans="1:8" ht="12" customHeight="1" thickTop="1" thickBot="1" x14ac:dyDescent="0.25">
      <c r="A30" s="13" t="s">
        <v>12</v>
      </c>
      <c r="B30" s="5"/>
      <c r="C30" s="5" t="s">
        <v>0</v>
      </c>
      <c r="D30" s="6" t="s">
        <v>13</v>
      </c>
      <c r="E30" s="5" t="s">
        <v>14</v>
      </c>
      <c r="F30" s="6" t="s">
        <v>15</v>
      </c>
      <c r="G30" s="5" t="s">
        <v>16</v>
      </c>
      <c r="H30" s="6" t="s">
        <v>17</v>
      </c>
    </row>
    <row r="31" spans="1:8" ht="12" customHeight="1" thickTop="1" thickBot="1" x14ac:dyDescent="0.25">
      <c r="A31" s="376" t="str">
        <f>Salarios!C11</f>
        <v>CABO DE OFICIO</v>
      </c>
      <c r="B31" s="377"/>
      <c r="C31" s="67" t="s">
        <v>63</v>
      </c>
      <c r="D31" s="115">
        <f>Salarios!F11</f>
        <v>1063.3375953327129</v>
      </c>
      <c r="E31" s="59">
        <f>2/10</f>
        <v>0.2</v>
      </c>
      <c r="F31" s="68">
        <f>+D31*E31</f>
        <v>212.66751906654258</v>
      </c>
      <c r="G31" s="64">
        <v>1</v>
      </c>
      <c r="H31" s="89">
        <f>F31/G31</f>
        <v>212.66751906654258</v>
      </c>
    </row>
    <row r="32" spans="1:8" ht="12" customHeight="1" thickTop="1" thickBot="1" x14ac:dyDescent="0.25">
      <c r="A32" s="376" t="str">
        <f>Salarios!C10</f>
        <v>OFICIAL ALBAÑIL</v>
      </c>
      <c r="B32" s="377"/>
      <c r="C32" s="70" t="s">
        <v>63</v>
      </c>
      <c r="D32" s="115">
        <f>Salarios!F9</f>
        <v>690.62582331941496</v>
      </c>
      <c r="E32" s="61">
        <v>1</v>
      </c>
      <c r="F32" s="71">
        <f>+D32*E32</f>
        <v>690.62582331941496</v>
      </c>
      <c r="G32" s="72">
        <v>1</v>
      </c>
      <c r="H32" s="89">
        <f t="shared" ref="H32:H33" si="0">F32/G32</f>
        <v>690.62582331941496</v>
      </c>
    </row>
    <row r="33" spans="1:8" ht="12" customHeight="1" thickTop="1" thickBot="1" x14ac:dyDescent="0.25">
      <c r="A33" s="376" t="str">
        <f>Salarios!C6</f>
        <v>AYUDANTE OFICIAL</v>
      </c>
      <c r="B33" s="377"/>
      <c r="C33" s="73" t="s">
        <v>63</v>
      </c>
      <c r="D33" s="115">
        <f>Salarios!F6</f>
        <v>621.96790972234044</v>
      </c>
      <c r="E33" s="63">
        <v>1</v>
      </c>
      <c r="F33" s="74">
        <f>+D33*E33</f>
        <v>621.96790972234044</v>
      </c>
      <c r="G33" s="72">
        <v>1</v>
      </c>
      <c r="H33" s="89">
        <f t="shared" si="0"/>
        <v>621.96790972234044</v>
      </c>
    </row>
    <row r="34" spans="1:8" ht="12" customHeight="1" thickBot="1" x14ac:dyDescent="0.25">
      <c r="A34" s="14"/>
      <c r="B34" s="15"/>
      <c r="C34" s="15"/>
      <c r="D34" s="15"/>
      <c r="E34" s="9"/>
      <c r="F34" s="12" t="s">
        <v>18</v>
      </c>
      <c r="G34" s="5"/>
      <c r="H34" s="16">
        <f>SUM(H31:H33)</f>
        <v>1525.2612521082979</v>
      </c>
    </row>
    <row r="35" spans="1:8" ht="12" hidden="1" customHeight="1" thickTop="1" thickBot="1" x14ac:dyDescent="0.25">
      <c r="A35" s="309" t="s">
        <v>19</v>
      </c>
      <c r="B35" s="310"/>
      <c r="C35" s="310"/>
      <c r="D35" s="310"/>
      <c r="E35" s="85"/>
      <c r="F35" s="85"/>
      <c r="G35" s="85"/>
      <c r="H35" s="86"/>
    </row>
    <row r="36" spans="1:8" ht="12" hidden="1" customHeight="1" thickBot="1" x14ac:dyDescent="0.25">
      <c r="A36" s="311" t="s">
        <v>7</v>
      </c>
      <c r="B36" s="312"/>
      <c r="C36" s="312"/>
      <c r="D36" s="313"/>
      <c r="E36" s="122" t="s">
        <v>0</v>
      </c>
      <c r="F36" s="122" t="s">
        <v>20</v>
      </c>
      <c r="G36" s="122" t="s">
        <v>21</v>
      </c>
      <c r="H36" s="88" t="s">
        <v>22</v>
      </c>
    </row>
    <row r="37" spans="1:8" ht="21.95" hidden="1" customHeight="1" thickTop="1" thickBot="1" x14ac:dyDescent="0.25">
      <c r="A37" s="385"/>
      <c r="B37" s="386"/>
      <c r="C37" s="386"/>
      <c r="D37" s="386"/>
      <c r="E37" s="218"/>
      <c r="F37" s="218"/>
      <c r="G37" s="219"/>
      <c r="H37" s="60"/>
    </row>
    <row r="38" spans="1:8" ht="12" hidden="1" customHeight="1" thickTop="1" thickBot="1" x14ac:dyDescent="0.25">
      <c r="A38" s="387"/>
      <c r="B38" s="388"/>
      <c r="C38" s="388"/>
      <c r="D38" s="388"/>
      <c r="E38" s="218"/>
      <c r="F38" s="218"/>
      <c r="G38" s="219"/>
      <c r="H38" s="60"/>
    </row>
    <row r="39" spans="1:8" ht="12" hidden="1" customHeight="1" thickTop="1" thickBot="1" x14ac:dyDescent="0.25">
      <c r="A39" s="387"/>
      <c r="B39" s="388"/>
      <c r="C39" s="388"/>
      <c r="D39" s="388"/>
      <c r="E39" s="218"/>
      <c r="F39" s="218"/>
      <c r="G39" s="219"/>
      <c r="H39" s="60"/>
    </row>
    <row r="40" spans="1:8" ht="12" hidden="1" customHeight="1" thickTop="1" thickBot="1" x14ac:dyDescent="0.25">
      <c r="A40" s="387"/>
      <c r="B40" s="388"/>
      <c r="C40" s="388"/>
      <c r="D40" s="388"/>
      <c r="E40" s="218"/>
      <c r="F40" s="218"/>
      <c r="G40" s="219"/>
      <c r="H40" s="60"/>
    </row>
    <row r="41" spans="1:8" ht="12" hidden="1" customHeight="1" thickBot="1" x14ac:dyDescent="0.25">
      <c r="A41" s="17"/>
      <c r="B41" s="18"/>
      <c r="C41" s="18"/>
      <c r="D41" s="18"/>
      <c r="E41" s="6"/>
      <c r="F41" s="117" t="s">
        <v>23</v>
      </c>
      <c r="G41" s="87"/>
      <c r="H41" s="217">
        <f>SUM(H37:H40)</f>
        <v>0</v>
      </c>
    </row>
    <row r="42" spans="1:8" ht="12" customHeight="1" thickTop="1" thickBot="1" x14ac:dyDescent="0.25">
      <c r="A42" s="300" t="s">
        <v>24</v>
      </c>
      <c r="B42" s="301"/>
      <c r="C42" s="301"/>
      <c r="D42" s="301"/>
      <c r="E42" s="3"/>
      <c r="F42" s="3"/>
      <c r="G42" s="3"/>
      <c r="H42" s="4"/>
    </row>
    <row r="43" spans="1:8" ht="12" customHeight="1" thickTop="1" thickBot="1" x14ac:dyDescent="0.25">
      <c r="A43" s="316" t="s">
        <v>25</v>
      </c>
      <c r="B43" s="317"/>
      <c r="C43" s="19"/>
      <c r="D43" s="19"/>
      <c r="E43" s="20"/>
      <c r="F43" s="21" t="s">
        <v>26</v>
      </c>
      <c r="G43" s="6" t="s">
        <v>27</v>
      </c>
      <c r="H43" s="6" t="s">
        <v>28</v>
      </c>
    </row>
    <row r="44" spans="1:8" ht="12" customHeight="1" thickTop="1" thickBot="1" x14ac:dyDescent="0.25">
      <c r="A44" s="17"/>
      <c r="B44" s="18"/>
      <c r="C44" s="18"/>
      <c r="D44" s="18"/>
      <c r="E44" s="6"/>
      <c r="F44" s="77"/>
      <c r="G44" s="78"/>
      <c r="H44" s="69">
        <f>+F44*G44</f>
        <v>0</v>
      </c>
    </row>
    <row r="45" spans="1:8" ht="12" customHeight="1" thickTop="1" thickBot="1" x14ac:dyDescent="0.25">
      <c r="A45" s="298" t="s">
        <v>29</v>
      </c>
      <c r="B45" s="299"/>
      <c r="C45" s="22"/>
      <c r="D45" s="22"/>
      <c r="E45" s="23"/>
      <c r="F45" s="79" t="s">
        <v>30</v>
      </c>
      <c r="G45" s="80" t="s">
        <v>27</v>
      </c>
      <c r="H45" s="81" t="s">
        <v>31</v>
      </c>
    </row>
    <row r="46" spans="1:8" ht="12" customHeight="1" thickBot="1" x14ac:dyDescent="0.25">
      <c r="A46" s="13"/>
      <c r="B46" s="12"/>
      <c r="C46" s="12"/>
      <c r="D46" s="12"/>
      <c r="E46" s="5"/>
      <c r="F46" s="82"/>
      <c r="G46" s="76"/>
      <c r="H46" s="75">
        <f>+F46*G46</f>
        <v>0</v>
      </c>
    </row>
    <row r="47" spans="1:8" ht="12" customHeight="1" thickTop="1" thickBot="1" x14ac:dyDescent="0.25">
      <c r="A47" s="10"/>
      <c r="B47" s="7"/>
      <c r="C47" s="7"/>
      <c r="D47" s="7"/>
      <c r="E47" s="8"/>
      <c r="F47" s="18" t="s">
        <v>32</v>
      </c>
      <c r="G47" s="6"/>
      <c r="H47" s="16">
        <f>+H44+H46</f>
        <v>0</v>
      </c>
    </row>
    <row r="48" spans="1:8" ht="12" customHeight="1" thickTop="1" thickBot="1" x14ac:dyDescent="0.25">
      <c r="A48" s="291" t="s">
        <v>33</v>
      </c>
      <c r="B48" s="292"/>
      <c r="C48" s="292"/>
      <c r="D48" s="292"/>
      <c r="E48" s="292"/>
      <c r="F48" s="292"/>
      <c r="G48" s="6"/>
      <c r="H48" s="16">
        <f>+H28+H34+H41+H47</f>
        <v>1525.2612521082979</v>
      </c>
    </row>
    <row r="49" ht="13.5" thickTop="1" x14ac:dyDescent="0.2"/>
  </sheetData>
  <mergeCells count="40">
    <mergeCell ref="A40:D40"/>
    <mergeCell ref="A42:D42"/>
    <mergeCell ref="A43:B43"/>
    <mergeCell ref="A45:B45"/>
    <mergeCell ref="A48:F48"/>
    <mergeCell ref="A39:D39"/>
    <mergeCell ref="A27:D27"/>
    <mergeCell ref="A28:E28"/>
    <mergeCell ref="A29:B29"/>
    <mergeCell ref="A31:B31"/>
    <mergeCell ref="A32:B32"/>
    <mergeCell ref="A33:B33"/>
    <mergeCell ref="A35:D35"/>
    <mergeCell ref="A36:D36"/>
    <mergeCell ref="A37:D37"/>
    <mergeCell ref="A38:D38"/>
    <mergeCell ref="A26:D26"/>
    <mergeCell ref="A15:B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C9"/>
    <mergeCell ref="D6:F9"/>
    <mergeCell ref="G6:H9"/>
    <mergeCell ref="A10:G11"/>
    <mergeCell ref="B13:B14"/>
    <mergeCell ref="C13:F14"/>
    <mergeCell ref="A1:B5"/>
    <mergeCell ref="C1:E1"/>
    <mergeCell ref="D2:G2"/>
    <mergeCell ref="C3:E3"/>
    <mergeCell ref="C4:C5"/>
    <mergeCell ref="D4:G5"/>
  </mergeCells>
  <printOptions horizontalCentered="1" verticalCentered="1"/>
  <pageMargins left="0.43307086614173229" right="0.35433070866141736" top="0.41" bottom="0.42" header="0.33" footer="0.36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4C09-DB70-4896-B5B1-740A776321A0}">
  <sheetPr codeName="Hoja6">
    <tabColor rgb="FFFF0000"/>
    <pageSetUpPr fitToPage="1"/>
  </sheetPr>
  <dimension ref="A1:H49"/>
  <sheetViews>
    <sheetView zoomScale="90" zoomScaleNormal="90" workbookViewId="0">
      <selection activeCell="D33" sqref="D33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171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191</v>
      </c>
    </row>
    <row r="12" spans="1:8" ht="4.5" customHeight="1" thickTop="1" thickBot="1" x14ac:dyDescent="0.25"/>
    <row r="13" spans="1:8" ht="18.75" customHeight="1" thickTop="1" thickBot="1" x14ac:dyDescent="0.25">
      <c r="A13" s="119">
        <f>Catalogo!A12</f>
        <v>1</v>
      </c>
      <c r="B13" s="338" t="s">
        <v>6</v>
      </c>
      <c r="C13" s="340" t="s">
        <v>210</v>
      </c>
      <c r="D13" s="340"/>
      <c r="E13" s="340"/>
      <c r="F13" s="341"/>
      <c r="G13" s="54" t="s">
        <v>0</v>
      </c>
      <c r="H13" s="54" t="s">
        <v>172</v>
      </c>
    </row>
    <row r="14" spans="1:8" ht="15.75" customHeight="1" thickBot="1" x14ac:dyDescent="0.25">
      <c r="A14" s="1"/>
      <c r="B14" s="339"/>
      <c r="C14" s="342"/>
      <c r="D14" s="342"/>
      <c r="E14" s="342"/>
      <c r="F14" s="343"/>
      <c r="G14" s="55" t="s">
        <v>1</v>
      </c>
      <c r="H14" s="57">
        <v>1</v>
      </c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hidden="1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8" ht="14.25" hidden="1" customHeight="1" thickTop="1" thickBot="1" x14ac:dyDescent="0.25">
      <c r="A17" s="376"/>
      <c r="B17" s="377"/>
      <c r="C17" s="377"/>
      <c r="D17" s="377"/>
      <c r="E17" s="61"/>
      <c r="F17" s="120"/>
      <c r="G17" s="94"/>
      <c r="H17" s="62"/>
    </row>
    <row r="18" spans="1:8" ht="14.25" hidden="1" customHeight="1" thickTop="1" thickBot="1" x14ac:dyDescent="0.25">
      <c r="A18" s="376"/>
      <c r="B18" s="377"/>
      <c r="C18" s="377"/>
      <c r="D18" s="377"/>
      <c r="E18" s="61"/>
      <c r="F18" s="120"/>
      <c r="G18" s="94"/>
      <c r="H18" s="62"/>
    </row>
    <row r="19" spans="1:8" ht="14.25" hidden="1" customHeight="1" thickTop="1" thickBot="1" x14ac:dyDescent="0.25">
      <c r="A19" s="376"/>
      <c r="B19" s="377"/>
      <c r="C19" s="377"/>
      <c r="D19" s="377"/>
      <c r="E19" s="61"/>
      <c r="F19" s="93"/>
      <c r="G19" s="94"/>
      <c r="H19" s="62"/>
    </row>
    <row r="20" spans="1:8" ht="14.25" hidden="1" customHeight="1" thickTop="1" thickBot="1" x14ac:dyDescent="0.25">
      <c r="A20" s="376"/>
      <c r="B20" s="377"/>
      <c r="C20" s="377"/>
      <c r="D20" s="377"/>
      <c r="E20" s="61"/>
      <c r="F20" s="93"/>
      <c r="G20" s="94"/>
      <c r="H20" s="62"/>
    </row>
    <row r="21" spans="1:8" ht="14.25" hidden="1" customHeight="1" thickTop="1" thickBot="1" x14ac:dyDescent="0.25">
      <c r="A21" s="376"/>
      <c r="B21" s="377"/>
      <c r="C21" s="377"/>
      <c r="D21" s="377"/>
      <c r="E21" s="61"/>
      <c r="F21" s="93"/>
      <c r="G21" s="94"/>
      <c r="H21" s="62"/>
    </row>
    <row r="22" spans="1:8" ht="14.25" hidden="1" customHeight="1" thickBot="1" x14ac:dyDescent="0.25">
      <c r="A22" s="381"/>
      <c r="B22" s="382"/>
      <c r="C22" s="382"/>
      <c r="D22" s="382"/>
      <c r="E22" s="61"/>
      <c r="F22" s="93"/>
      <c r="G22" s="94"/>
      <c r="H22" s="62"/>
    </row>
    <row r="23" spans="1:8" ht="14.25" hidden="1" customHeight="1" thickBot="1" x14ac:dyDescent="0.25">
      <c r="A23" s="378"/>
      <c r="B23" s="379"/>
      <c r="C23" s="379"/>
      <c r="D23" s="380"/>
      <c r="E23" s="91"/>
      <c r="F23" s="93"/>
      <c r="G23" s="94"/>
      <c r="H23" s="62"/>
    </row>
    <row r="24" spans="1:8" ht="14.25" hidden="1" customHeight="1" thickBot="1" x14ac:dyDescent="0.25">
      <c r="A24" s="381"/>
      <c r="B24" s="382"/>
      <c r="C24" s="382"/>
      <c r="D24" s="382"/>
      <c r="E24" s="61"/>
      <c r="F24" s="93"/>
      <c r="G24" s="94"/>
      <c r="H24" s="62"/>
    </row>
    <row r="25" spans="1:8" ht="14.25" hidden="1" customHeight="1" thickBot="1" x14ac:dyDescent="0.25">
      <c r="A25" s="383"/>
      <c r="B25" s="384"/>
      <c r="C25" s="384"/>
      <c r="D25" s="384"/>
      <c r="E25" s="98"/>
      <c r="F25" s="99"/>
      <c r="G25" s="100"/>
      <c r="H25" s="101"/>
    </row>
    <row r="26" spans="1:8" ht="14.25" hidden="1" customHeight="1" thickBot="1" x14ac:dyDescent="0.25">
      <c r="A26" s="378"/>
      <c r="B26" s="379"/>
      <c r="C26" s="379"/>
      <c r="D26" s="380"/>
      <c r="E26" s="90"/>
      <c r="F26" s="92"/>
      <c r="G26" s="91"/>
      <c r="H26" s="62"/>
    </row>
    <row r="27" spans="1:8" ht="14.25" hidden="1" customHeight="1" thickBot="1" x14ac:dyDescent="0.25">
      <c r="A27" s="378"/>
      <c r="B27" s="379"/>
      <c r="C27" s="379"/>
      <c r="D27" s="380"/>
      <c r="E27" s="90"/>
      <c r="F27" s="92"/>
      <c r="G27" s="91"/>
      <c r="H27" s="62"/>
    </row>
    <row r="28" spans="1:8" ht="12" hidden="1" customHeight="1" thickBot="1" x14ac:dyDescent="0.25">
      <c r="A28" s="318"/>
      <c r="B28" s="319"/>
      <c r="C28" s="319"/>
      <c r="D28" s="319"/>
      <c r="E28" s="320"/>
      <c r="F28" s="65" t="s">
        <v>11</v>
      </c>
      <c r="G28" s="11"/>
      <c r="H28" s="66">
        <f>SUM(H17:H27)</f>
        <v>0</v>
      </c>
    </row>
    <row r="29" spans="1:8" ht="12" customHeight="1" thickTop="1" thickBot="1" x14ac:dyDescent="0.25">
      <c r="A29" s="300" t="s">
        <v>3</v>
      </c>
      <c r="B29" s="301"/>
      <c r="C29" s="3"/>
      <c r="D29" s="3"/>
      <c r="E29" s="3"/>
      <c r="F29" s="3"/>
      <c r="G29" s="3"/>
      <c r="H29" s="4"/>
    </row>
    <row r="30" spans="1:8" ht="12" customHeight="1" thickTop="1" thickBot="1" x14ac:dyDescent="0.25">
      <c r="A30" s="13" t="s">
        <v>12</v>
      </c>
      <c r="B30" s="5"/>
      <c r="C30" s="5" t="s">
        <v>0</v>
      </c>
      <c r="D30" s="6" t="s">
        <v>13</v>
      </c>
      <c r="E30" s="5" t="s">
        <v>14</v>
      </c>
      <c r="F30" s="6" t="s">
        <v>15</v>
      </c>
      <c r="G30" s="5" t="s">
        <v>16</v>
      </c>
      <c r="H30" s="6" t="s">
        <v>17</v>
      </c>
    </row>
    <row r="31" spans="1:8" ht="12" customHeight="1" thickTop="1" thickBot="1" x14ac:dyDescent="0.25">
      <c r="A31" s="376" t="str">
        <f>Salarios!C11</f>
        <v>CABO DE OFICIO</v>
      </c>
      <c r="B31" s="377"/>
      <c r="C31" s="67" t="s">
        <v>63</v>
      </c>
      <c r="D31" s="115">
        <f>Salarios!F11</f>
        <v>1063.3375953327129</v>
      </c>
      <c r="E31" s="59">
        <f>3/10</f>
        <v>0.3</v>
      </c>
      <c r="F31" s="68">
        <f>+D31*E31</f>
        <v>319.00127859981387</v>
      </c>
      <c r="G31" s="64">
        <v>1</v>
      </c>
      <c r="H31" s="89">
        <f>F31/G31</f>
        <v>319.00127859981387</v>
      </c>
    </row>
    <row r="32" spans="1:8" ht="12" customHeight="1" thickTop="1" thickBot="1" x14ac:dyDescent="0.25">
      <c r="A32" s="376" t="str">
        <f>Salarios!C9</f>
        <v>OFICIAL AISLADOR</v>
      </c>
      <c r="B32" s="377"/>
      <c r="C32" s="102" t="s">
        <v>63</v>
      </c>
      <c r="D32" s="115">
        <f>Salarios!F9</f>
        <v>690.62582331941496</v>
      </c>
      <c r="E32" s="91">
        <v>1</v>
      </c>
      <c r="F32" s="71">
        <f>+D32*E32</f>
        <v>690.62582331941496</v>
      </c>
      <c r="G32" s="72">
        <v>1</v>
      </c>
      <c r="H32" s="89">
        <f t="shared" ref="H32:H33" si="0">F32/G32</f>
        <v>690.62582331941496</v>
      </c>
    </row>
    <row r="33" spans="1:8" ht="12" customHeight="1" thickTop="1" thickBot="1" x14ac:dyDescent="0.25">
      <c r="A33" s="376" t="str">
        <f>Salarios!C6</f>
        <v>AYUDANTE OFICIAL</v>
      </c>
      <c r="B33" s="377"/>
      <c r="C33" s="73" t="s">
        <v>63</v>
      </c>
      <c r="D33" s="115">
        <f>Salarios!F6</f>
        <v>621.96790972234044</v>
      </c>
      <c r="E33" s="63">
        <v>2</v>
      </c>
      <c r="F33" s="74">
        <f>+D33*E33</f>
        <v>1243.9358194446809</v>
      </c>
      <c r="G33" s="72">
        <v>1</v>
      </c>
      <c r="H33" s="89">
        <f t="shared" si="0"/>
        <v>1243.9358194446809</v>
      </c>
    </row>
    <row r="34" spans="1:8" ht="12" customHeight="1" thickBot="1" x14ac:dyDescent="0.25">
      <c r="A34" s="14"/>
      <c r="B34" s="15"/>
      <c r="C34" s="15"/>
      <c r="D34" s="15"/>
      <c r="E34" s="9"/>
      <c r="F34" s="12" t="s">
        <v>18</v>
      </c>
      <c r="G34" s="5"/>
      <c r="H34" s="16">
        <f>SUM(H31:H33)</f>
        <v>2253.5629213639095</v>
      </c>
    </row>
    <row r="35" spans="1:8" ht="12" hidden="1" customHeight="1" thickTop="1" thickBot="1" x14ac:dyDescent="0.25">
      <c r="A35" s="309" t="s">
        <v>19</v>
      </c>
      <c r="B35" s="310"/>
      <c r="C35" s="310"/>
      <c r="D35" s="310"/>
      <c r="E35" s="85"/>
      <c r="F35" s="85"/>
      <c r="G35" s="85"/>
      <c r="H35" s="86"/>
    </row>
    <row r="36" spans="1:8" ht="12" hidden="1" customHeight="1" thickBot="1" x14ac:dyDescent="0.25">
      <c r="A36" s="311" t="s">
        <v>7</v>
      </c>
      <c r="B36" s="312"/>
      <c r="C36" s="312"/>
      <c r="D36" s="313"/>
      <c r="E36" s="122" t="s">
        <v>0</v>
      </c>
      <c r="F36" s="122" t="s">
        <v>20</v>
      </c>
      <c r="G36" s="122" t="s">
        <v>21</v>
      </c>
      <c r="H36" s="88" t="s">
        <v>22</v>
      </c>
    </row>
    <row r="37" spans="1:8" ht="21.95" hidden="1" customHeight="1" thickTop="1" thickBot="1" x14ac:dyDescent="0.25">
      <c r="A37" s="385"/>
      <c r="B37" s="386"/>
      <c r="C37" s="386"/>
      <c r="D37" s="386"/>
      <c r="E37" s="218"/>
      <c r="F37" s="218"/>
      <c r="G37" s="219"/>
      <c r="H37" s="60"/>
    </row>
    <row r="38" spans="1:8" ht="12" hidden="1" customHeight="1" thickTop="1" thickBot="1" x14ac:dyDescent="0.25">
      <c r="A38" s="387"/>
      <c r="B38" s="388"/>
      <c r="C38" s="388"/>
      <c r="D38" s="388"/>
      <c r="E38" s="218"/>
      <c r="F38" s="218"/>
      <c r="G38" s="219"/>
      <c r="H38" s="60"/>
    </row>
    <row r="39" spans="1:8" ht="12" hidden="1" customHeight="1" thickTop="1" thickBot="1" x14ac:dyDescent="0.25">
      <c r="A39" s="387"/>
      <c r="B39" s="388"/>
      <c r="C39" s="388"/>
      <c r="D39" s="388"/>
      <c r="E39" s="218"/>
      <c r="F39" s="218"/>
      <c r="G39" s="219"/>
      <c r="H39" s="60"/>
    </row>
    <row r="40" spans="1:8" ht="12" hidden="1" customHeight="1" thickTop="1" thickBot="1" x14ac:dyDescent="0.25">
      <c r="A40" s="387"/>
      <c r="B40" s="388"/>
      <c r="C40" s="388"/>
      <c r="D40" s="388"/>
      <c r="E40" s="218"/>
      <c r="F40" s="218"/>
      <c r="G40" s="219"/>
      <c r="H40" s="60"/>
    </row>
    <row r="41" spans="1:8" ht="12" hidden="1" customHeight="1" thickBot="1" x14ac:dyDescent="0.25">
      <c r="A41" s="17"/>
      <c r="B41" s="18"/>
      <c r="C41" s="18"/>
      <c r="D41" s="18"/>
      <c r="E41" s="6"/>
      <c r="F41" s="117" t="s">
        <v>23</v>
      </c>
      <c r="G41" s="87"/>
      <c r="H41" s="217">
        <f>SUM(H37:H40)</f>
        <v>0</v>
      </c>
    </row>
    <row r="42" spans="1:8" ht="12" customHeight="1" thickTop="1" thickBot="1" x14ac:dyDescent="0.25">
      <c r="A42" s="300" t="s">
        <v>24</v>
      </c>
      <c r="B42" s="301"/>
      <c r="C42" s="301"/>
      <c r="D42" s="301"/>
      <c r="E42" s="3"/>
      <c r="F42" s="3"/>
      <c r="G42" s="3"/>
      <c r="H42" s="4"/>
    </row>
    <row r="43" spans="1:8" ht="12" customHeight="1" thickTop="1" thickBot="1" x14ac:dyDescent="0.25">
      <c r="A43" s="316" t="s">
        <v>25</v>
      </c>
      <c r="B43" s="317"/>
      <c r="C43" s="19"/>
      <c r="D43" s="19"/>
      <c r="E43" s="20"/>
      <c r="F43" s="21" t="s">
        <v>26</v>
      </c>
      <c r="G43" s="6" t="s">
        <v>27</v>
      </c>
      <c r="H43" s="6" t="s">
        <v>28</v>
      </c>
    </row>
    <row r="44" spans="1:8" ht="12" customHeight="1" thickTop="1" thickBot="1" x14ac:dyDescent="0.25">
      <c r="A44" s="17"/>
      <c r="B44" s="18"/>
      <c r="C44" s="18"/>
      <c r="D44" s="18"/>
      <c r="E44" s="6"/>
      <c r="F44" s="77"/>
      <c r="G44" s="78"/>
      <c r="H44" s="69"/>
    </row>
    <row r="45" spans="1:8" ht="12" customHeight="1" thickTop="1" thickBot="1" x14ac:dyDescent="0.25">
      <c r="A45" s="298" t="s">
        <v>29</v>
      </c>
      <c r="B45" s="299"/>
      <c r="C45" s="22"/>
      <c r="D45" s="22"/>
      <c r="E45" s="23"/>
      <c r="F45" s="79" t="s">
        <v>30</v>
      </c>
      <c r="G45" s="80" t="s">
        <v>27</v>
      </c>
      <c r="H45" s="81" t="s">
        <v>31</v>
      </c>
    </row>
    <row r="46" spans="1:8" ht="12" customHeight="1" thickBot="1" x14ac:dyDescent="0.25">
      <c r="A46" s="13"/>
      <c r="B46" s="12"/>
      <c r="C46" s="12"/>
      <c r="D46" s="12"/>
      <c r="E46" s="5"/>
      <c r="F46" s="82"/>
      <c r="G46" s="76"/>
      <c r="H46" s="75"/>
    </row>
    <row r="47" spans="1:8" ht="12" customHeight="1" thickTop="1" thickBot="1" x14ac:dyDescent="0.25">
      <c r="A47" s="10"/>
      <c r="B47" s="7"/>
      <c r="C47" s="7"/>
      <c r="D47" s="7"/>
      <c r="E47" s="8"/>
      <c r="F47" s="18" t="s">
        <v>32</v>
      </c>
      <c r="G47" s="6"/>
      <c r="H47" s="16">
        <f>+H44+H46</f>
        <v>0</v>
      </c>
    </row>
    <row r="48" spans="1:8" ht="12" customHeight="1" thickTop="1" thickBot="1" x14ac:dyDescent="0.25">
      <c r="A48" s="291" t="s">
        <v>33</v>
      </c>
      <c r="B48" s="292"/>
      <c r="C48" s="292"/>
      <c r="D48" s="292"/>
      <c r="E48" s="292"/>
      <c r="F48" s="292"/>
      <c r="G48" s="6"/>
      <c r="H48" s="16">
        <f>+H28+H34+H41+H47</f>
        <v>2253.5629213639095</v>
      </c>
    </row>
    <row r="49" ht="13.5" thickTop="1" x14ac:dyDescent="0.2"/>
  </sheetData>
  <mergeCells count="40">
    <mergeCell ref="A40:D40"/>
    <mergeCell ref="A42:D42"/>
    <mergeCell ref="A43:B43"/>
    <mergeCell ref="A45:B45"/>
    <mergeCell ref="A48:F48"/>
    <mergeCell ref="A39:D39"/>
    <mergeCell ref="A27:D27"/>
    <mergeCell ref="A28:E28"/>
    <mergeCell ref="A29:B29"/>
    <mergeCell ref="A31:B31"/>
    <mergeCell ref="A32:B32"/>
    <mergeCell ref="A33:B33"/>
    <mergeCell ref="A35:D35"/>
    <mergeCell ref="A36:D36"/>
    <mergeCell ref="A37:D37"/>
    <mergeCell ref="A38:D38"/>
    <mergeCell ref="A26:D26"/>
    <mergeCell ref="A15:B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C9"/>
    <mergeCell ref="D6:F9"/>
    <mergeCell ref="G6:H9"/>
    <mergeCell ref="A10:G11"/>
    <mergeCell ref="B13:B14"/>
    <mergeCell ref="C13:F14"/>
    <mergeCell ref="A1:B5"/>
    <mergeCell ref="C1:E1"/>
    <mergeCell ref="D2:G2"/>
    <mergeCell ref="C3:E3"/>
    <mergeCell ref="C4:C5"/>
    <mergeCell ref="D4:G5"/>
  </mergeCells>
  <printOptions horizontalCentered="1" verticalCentered="1"/>
  <pageMargins left="0.43307086614173229" right="0.35433070866141736" top="0.41" bottom="0.42" header="0.33" footer="0.36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4E46-5B67-4E06-B268-264D753C1386}">
  <sheetPr codeName="Hoja16">
    <tabColor rgb="FFFF0000"/>
    <pageSetUpPr fitToPage="1"/>
  </sheetPr>
  <dimension ref="A1:H50"/>
  <sheetViews>
    <sheetView topLeftCell="A7" zoomScale="90" zoomScaleNormal="90" workbookViewId="0">
      <selection activeCell="D33" sqref="D33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88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191</v>
      </c>
    </row>
    <row r="12" spans="1:8" ht="4.5" customHeight="1" thickTop="1" thickBot="1" x14ac:dyDescent="0.25"/>
    <row r="13" spans="1:8" ht="18.75" customHeight="1" thickTop="1" thickBot="1" x14ac:dyDescent="0.25">
      <c r="A13" s="119">
        <f>Catalogo!A12</f>
        <v>1</v>
      </c>
      <c r="B13" s="338" t="s">
        <v>6</v>
      </c>
      <c r="C13" s="340" t="s">
        <v>211</v>
      </c>
      <c r="D13" s="340"/>
      <c r="E13" s="340"/>
      <c r="F13" s="341"/>
      <c r="G13" s="54" t="s">
        <v>0</v>
      </c>
      <c r="H13" s="54" t="s">
        <v>172</v>
      </c>
    </row>
    <row r="14" spans="1:8" ht="15.75" customHeight="1" thickBot="1" x14ac:dyDescent="0.25">
      <c r="A14" s="1"/>
      <c r="B14" s="339"/>
      <c r="C14" s="342"/>
      <c r="D14" s="342"/>
      <c r="E14" s="342"/>
      <c r="F14" s="343"/>
      <c r="G14" s="55" t="s">
        <v>1</v>
      </c>
      <c r="H14" s="57">
        <v>1</v>
      </c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hidden="1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8" ht="14.25" hidden="1" customHeight="1" thickTop="1" thickBot="1" x14ac:dyDescent="0.25">
      <c r="A17" s="376"/>
      <c r="B17" s="377"/>
      <c r="C17" s="377"/>
      <c r="D17" s="377"/>
      <c r="E17" s="61"/>
      <c r="F17" s="120"/>
      <c r="G17" s="94"/>
      <c r="H17" s="62"/>
    </row>
    <row r="18" spans="1:8" ht="14.25" hidden="1" customHeight="1" thickTop="1" thickBot="1" x14ac:dyDescent="0.25">
      <c r="A18" s="376"/>
      <c r="B18" s="377"/>
      <c r="C18" s="377"/>
      <c r="D18" s="377"/>
      <c r="E18" s="61"/>
      <c r="F18" s="120"/>
      <c r="G18" s="94"/>
      <c r="H18" s="62"/>
    </row>
    <row r="19" spans="1:8" ht="14.25" hidden="1" customHeight="1" thickTop="1" thickBot="1" x14ac:dyDescent="0.25">
      <c r="A19" s="376"/>
      <c r="B19" s="377"/>
      <c r="C19" s="377"/>
      <c r="D19" s="377"/>
      <c r="E19" s="61"/>
      <c r="F19" s="93"/>
      <c r="G19" s="94"/>
      <c r="H19" s="62"/>
    </row>
    <row r="20" spans="1:8" ht="14.25" hidden="1" customHeight="1" thickTop="1" thickBot="1" x14ac:dyDescent="0.25">
      <c r="A20" s="376"/>
      <c r="B20" s="377"/>
      <c r="C20" s="377"/>
      <c r="D20" s="377"/>
      <c r="E20" s="61"/>
      <c r="F20" s="93"/>
      <c r="G20" s="94"/>
      <c r="H20" s="62"/>
    </row>
    <row r="21" spans="1:8" ht="14.25" hidden="1" customHeight="1" thickTop="1" thickBot="1" x14ac:dyDescent="0.25">
      <c r="A21" s="376"/>
      <c r="B21" s="377"/>
      <c r="C21" s="377"/>
      <c r="D21" s="377"/>
      <c r="E21" s="61"/>
      <c r="F21" s="93"/>
      <c r="G21" s="94"/>
      <c r="H21" s="62"/>
    </row>
    <row r="22" spans="1:8" ht="14.25" hidden="1" customHeight="1" thickBot="1" x14ac:dyDescent="0.25">
      <c r="A22" s="381"/>
      <c r="B22" s="382"/>
      <c r="C22" s="382"/>
      <c r="D22" s="382"/>
      <c r="E22" s="61"/>
      <c r="F22" s="93"/>
      <c r="G22" s="94"/>
      <c r="H22" s="62"/>
    </row>
    <row r="23" spans="1:8" ht="14.25" hidden="1" customHeight="1" thickBot="1" x14ac:dyDescent="0.25">
      <c r="A23" s="378"/>
      <c r="B23" s="379"/>
      <c r="C23" s="379"/>
      <c r="D23" s="380"/>
      <c r="E23" s="91"/>
      <c r="F23" s="93"/>
      <c r="G23" s="94"/>
      <c r="H23" s="62"/>
    </row>
    <row r="24" spans="1:8" ht="14.25" hidden="1" customHeight="1" thickBot="1" x14ac:dyDescent="0.25">
      <c r="A24" s="381"/>
      <c r="B24" s="382"/>
      <c r="C24" s="382"/>
      <c r="D24" s="382"/>
      <c r="E24" s="61"/>
      <c r="F24" s="93"/>
      <c r="G24" s="94"/>
      <c r="H24" s="62"/>
    </row>
    <row r="25" spans="1:8" ht="14.25" hidden="1" customHeight="1" thickBot="1" x14ac:dyDescent="0.25">
      <c r="A25" s="383"/>
      <c r="B25" s="384"/>
      <c r="C25" s="384"/>
      <c r="D25" s="384"/>
      <c r="E25" s="98"/>
      <c r="F25" s="99"/>
      <c r="G25" s="100"/>
      <c r="H25" s="101"/>
    </row>
    <row r="26" spans="1:8" ht="14.25" hidden="1" customHeight="1" thickBot="1" x14ac:dyDescent="0.25">
      <c r="A26" s="378"/>
      <c r="B26" s="379"/>
      <c r="C26" s="379"/>
      <c r="D26" s="380"/>
      <c r="E26" s="90"/>
      <c r="F26" s="92"/>
      <c r="G26" s="91"/>
      <c r="H26" s="62"/>
    </row>
    <row r="27" spans="1:8" ht="14.25" hidden="1" customHeight="1" thickBot="1" x14ac:dyDescent="0.25">
      <c r="A27" s="378"/>
      <c r="B27" s="379"/>
      <c r="C27" s="379"/>
      <c r="D27" s="380"/>
      <c r="E27" s="90"/>
      <c r="F27" s="92"/>
      <c r="G27" s="91"/>
      <c r="H27" s="62"/>
    </row>
    <row r="28" spans="1:8" ht="12" hidden="1" customHeight="1" thickBot="1" x14ac:dyDescent="0.25">
      <c r="A28" s="318"/>
      <c r="B28" s="319"/>
      <c r="C28" s="319"/>
      <c r="D28" s="319"/>
      <c r="E28" s="320"/>
      <c r="F28" s="65" t="s">
        <v>11</v>
      </c>
      <c r="G28" s="11"/>
      <c r="H28" s="66">
        <f>SUM(H17:H27)</f>
        <v>0</v>
      </c>
    </row>
    <row r="29" spans="1:8" ht="12" customHeight="1" thickTop="1" thickBot="1" x14ac:dyDescent="0.25">
      <c r="A29" s="300" t="s">
        <v>3</v>
      </c>
      <c r="B29" s="301"/>
      <c r="C29" s="3"/>
      <c r="D29" s="3"/>
      <c r="E29" s="3"/>
      <c r="F29" s="3"/>
      <c r="G29" s="3"/>
      <c r="H29" s="4"/>
    </row>
    <row r="30" spans="1:8" ht="12" customHeight="1" thickTop="1" thickBot="1" x14ac:dyDescent="0.25">
      <c r="A30" s="13" t="s">
        <v>12</v>
      </c>
      <c r="B30" s="5"/>
      <c r="C30" s="5" t="s">
        <v>0</v>
      </c>
      <c r="D30" s="6" t="s">
        <v>13</v>
      </c>
      <c r="E30" s="5" t="s">
        <v>14</v>
      </c>
      <c r="F30" s="6" t="s">
        <v>15</v>
      </c>
      <c r="G30" s="5" t="s">
        <v>16</v>
      </c>
      <c r="H30" s="6" t="s">
        <v>17</v>
      </c>
    </row>
    <row r="31" spans="1:8" ht="12" customHeight="1" thickTop="1" thickBot="1" x14ac:dyDescent="0.25">
      <c r="A31" s="376" t="str">
        <f>Salarios!C11</f>
        <v>CABO DE OFICIO</v>
      </c>
      <c r="B31" s="377"/>
      <c r="C31" s="67" t="s">
        <v>63</v>
      </c>
      <c r="D31" s="115">
        <f>Salarios!F11</f>
        <v>1063.3375953327129</v>
      </c>
      <c r="E31" s="59">
        <f>6/10</f>
        <v>0.6</v>
      </c>
      <c r="F31" s="68">
        <f>+D31*E31</f>
        <v>638.00255719962774</v>
      </c>
      <c r="G31" s="64">
        <v>1</v>
      </c>
      <c r="H31" s="89">
        <f>F31/G31</f>
        <v>638.00255719962774</v>
      </c>
    </row>
    <row r="32" spans="1:8" ht="12" customHeight="1" thickTop="1" thickBot="1" x14ac:dyDescent="0.25">
      <c r="A32" s="376" t="str">
        <f>Salarios!C8</f>
        <v>OFICIAL LAMINERO</v>
      </c>
      <c r="B32" s="377"/>
      <c r="C32" s="102" t="s">
        <v>63</v>
      </c>
      <c r="D32" s="115">
        <f>Salarios!F8</f>
        <v>690.62582331941496</v>
      </c>
      <c r="E32" s="91">
        <v>2</v>
      </c>
      <c r="F32" s="71">
        <f>+D32*E32</f>
        <v>1381.2516466388299</v>
      </c>
      <c r="G32" s="72">
        <v>1</v>
      </c>
      <c r="H32" s="89">
        <f t="shared" ref="H32:H34" si="0">F32/G32</f>
        <v>1381.2516466388299</v>
      </c>
    </row>
    <row r="33" spans="1:8" ht="12" customHeight="1" thickTop="1" thickBot="1" x14ac:dyDescent="0.25">
      <c r="A33" s="389" t="str">
        <f>Salarios!C13</f>
        <v>AYUDANTE GENERAL</v>
      </c>
      <c r="B33" s="390"/>
      <c r="C33" s="102" t="s">
        <v>63</v>
      </c>
      <c r="D33" s="115">
        <f>Salarios!F13</f>
        <v>620.83150287659578</v>
      </c>
      <c r="E33" s="91">
        <v>2</v>
      </c>
      <c r="F33" s="71">
        <f>+D33*E33</f>
        <v>1241.6630057531916</v>
      </c>
      <c r="G33" s="72">
        <v>1</v>
      </c>
      <c r="H33" s="89">
        <f t="shared" si="0"/>
        <v>1241.6630057531916</v>
      </c>
    </row>
    <row r="34" spans="1:8" ht="12" customHeight="1" thickTop="1" thickBot="1" x14ac:dyDescent="0.25">
      <c r="A34" s="376" t="str">
        <f>Salarios!C6</f>
        <v>AYUDANTE OFICIAL</v>
      </c>
      <c r="B34" s="377"/>
      <c r="C34" s="73" t="s">
        <v>63</v>
      </c>
      <c r="D34" s="115">
        <f>Salarios!F6</f>
        <v>621.96790972234044</v>
      </c>
      <c r="E34" s="63">
        <v>2</v>
      </c>
      <c r="F34" s="74">
        <f>+D34*E34</f>
        <v>1243.9358194446809</v>
      </c>
      <c r="G34" s="72">
        <v>1</v>
      </c>
      <c r="H34" s="89">
        <f t="shared" si="0"/>
        <v>1243.9358194446809</v>
      </c>
    </row>
    <row r="35" spans="1:8" ht="12" customHeight="1" thickBot="1" x14ac:dyDescent="0.25">
      <c r="A35" s="14"/>
      <c r="B35" s="15"/>
      <c r="C35" s="15"/>
      <c r="D35" s="15"/>
      <c r="E35" s="9"/>
      <c r="F35" s="12" t="s">
        <v>18</v>
      </c>
      <c r="G35" s="5"/>
      <c r="H35" s="16">
        <f>SUM(H31:H34)</f>
        <v>4504.8530290363306</v>
      </c>
    </row>
    <row r="36" spans="1:8" ht="12" hidden="1" customHeight="1" thickTop="1" thickBot="1" x14ac:dyDescent="0.25">
      <c r="A36" s="309" t="s">
        <v>19</v>
      </c>
      <c r="B36" s="310"/>
      <c r="C36" s="310"/>
      <c r="D36" s="310"/>
      <c r="E36" s="85"/>
      <c r="F36" s="85"/>
      <c r="G36" s="85"/>
      <c r="H36" s="86"/>
    </row>
    <row r="37" spans="1:8" ht="12" hidden="1" customHeight="1" thickBot="1" x14ac:dyDescent="0.25">
      <c r="A37" s="311" t="s">
        <v>7</v>
      </c>
      <c r="B37" s="312"/>
      <c r="C37" s="312"/>
      <c r="D37" s="313"/>
      <c r="E37" s="122" t="s">
        <v>0</v>
      </c>
      <c r="F37" s="122" t="s">
        <v>20</v>
      </c>
      <c r="G37" s="122" t="s">
        <v>21</v>
      </c>
      <c r="H37" s="88" t="s">
        <v>22</v>
      </c>
    </row>
    <row r="38" spans="1:8" ht="21.95" hidden="1" customHeight="1" thickTop="1" thickBot="1" x14ac:dyDescent="0.25">
      <c r="A38" s="385"/>
      <c r="B38" s="386"/>
      <c r="C38" s="386"/>
      <c r="D38" s="386"/>
      <c r="E38" s="218"/>
      <c r="F38" s="218"/>
      <c r="G38" s="219"/>
      <c r="H38" s="60"/>
    </row>
    <row r="39" spans="1:8" ht="12" hidden="1" customHeight="1" thickTop="1" thickBot="1" x14ac:dyDescent="0.25">
      <c r="A39" s="387"/>
      <c r="B39" s="388"/>
      <c r="C39" s="388"/>
      <c r="D39" s="388"/>
      <c r="E39" s="218"/>
      <c r="F39" s="218"/>
      <c r="G39" s="219"/>
      <c r="H39" s="60"/>
    </row>
    <row r="40" spans="1:8" ht="12" hidden="1" customHeight="1" thickTop="1" thickBot="1" x14ac:dyDescent="0.25">
      <c r="A40" s="387"/>
      <c r="B40" s="388"/>
      <c r="C40" s="388"/>
      <c r="D40" s="388"/>
      <c r="E40" s="218"/>
      <c r="F40" s="218"/>
      <c r="G40" s="219"/>
      <c r="H40" s="60"/>
    </row>
    <row r="41" spans="1:8" ht="12" hidden="1" customHeight="1" thickTop="1" thickBot="1" x14ac:dyDescent="0.25">
      <c r="A41" s="387"/>
      <c r="B41" s="388"/>
      <c r="C41" s="388"/>
      <c r="D41" s="388"/>
      <c r="E41" s="218"/>
      <c r="F41" s="218"/>
      <c r="G41" s="219"/>
      <c r="H41" s="60"/>
    </row>
    <row r="42" spans="1:8" ht="12" hidden="1" customHeight="1" thickBot="1" x14ac:dyDescent="0.25">
      <c r="A42" s="17"/>
      <c r="B42" s="18"/>
      <c r="C42" s="18"/>
      <c r="D42" s="18"/>
      <c r="E42" s="6"/>
      <c r="F42" s="117" t="s">
        <v>23</v>
      </c>
      <c r="G42" s="87"/>
      <c r="H42" s="217">
        <f>SUM(H38:H41)</f>
        <v>0</v>
      </c>
    </row>
    <row r="43" spans="1:8" ht="12" customHeight="1" thickTop="1" thickBot="1" x14ac:dyDescent="0.25">
      <c r="A43" s="300" t="s">
        <v>24</v>
      </c>
      <c r="B43" s="301"/>
      <c r="C43" s="301"/>
      <c r="D43" s="301"/>
      <c r="E43" s="3"/>
      <c r="F43" s="3"/>
      <c r="G43" s="3"/>
      <c r="H43" s="4"/>
    </row>
    <row r="44" spans="1:8" ht="12" customHeight="1" thickTop="1" thickBot="1" x14ac:dyDescent="0.25">
      <c r="A44" s="316" t="s">
        <v>25</v>
      </c>
      <c r="B44" s="317"/>
      <c r="C44" s="19"/>
      <c r="D44" s="19"/>
      <c r="E44" s="20"/>
      <c r="F44" s="21" t="s">
        <v>26</v>
      </c>
      <c r="G44" s="6" t="s">
        <v>27</v>
      </c>
      <c r="H44" s="6" t="s">
        <v>28</v>
      </c>
    </row>
    <row r="45" spans="1:8" ht="12" customHeight="1" thickTop="1" thickBot="1" x14ac:dyDescent="0.25">
      <c r="A45" s="17"/>
      <c r="B45" s="18"/>
      <c r="C45" s="18"/>
      <c r="D45" s="18"/>
      <c r="E45" s="6"/>
      <c r="F45" s="77"/>
      <c r="G45" s="78"/>
      <c r="H45" s="69"/>
    </row>
    <row r="46" spans="1:8" ht="12" customHeight="1" thickTop="1" thickBot="1" x14ac:dyDescent="0.25">
      <c r="A46" s="298" t="s">
        <v>29</v>
      </c>
      <c r="B46" s="299"/>
      <c r="C46" s="22"/>
      <c r="D46" s="22"/>
      <c r="E46" s="23"/>
      <c r="F46" s="79" t="s">
        <v>30</v>
      </c>
      <c r="G46" s="80" t="s">
        <v>27</v>
      </c>
      <c r="H46" s="81" t="s">
        <v>31</v>
      </c>
    </row>
    <row r="47" spans="1:8" ht="12" customHeight="1" thickBot="1" x14ac:dyDescent="0.25">
      <c r="A47" s="13"/>
      <c r="B47" s="12"/>
      <c r="C47" s="12"/>
      <c r="D47" s="12"/>
      <c r="E47" s="5"/>
      <c r="F47" s="82"/>
      <c r="G47" s="76"/>
      <c r="H47" s="75"/>
    </row>
    <row r="48" spans="1:8" ht="12" customHeight="1" thickTop="1" thickBot="1" x14ac:dyDescent="0.25">
      <c r="A48" s="10"/>
      <c r="B48" s="7"/>
      <c r="C48" s="7"/>
      <c r="D48" s="7"/>
      <c r="E48" s="8"/>
      <c r="F48" s="18" t="s">
        <v>32</v>
      </c>
      <c r="G48" s="6"/>
      <c r="H48" s="16">
        <f>+H45+H47</f>
        <v>0</v>
      </c>
    </row>
    <row r="49" spans="1:8" ht="12" customHeight="1" thickTop="1" thickBot="1" x14ac:dyDescent="0.25">
      <c r="A49" s="291" t="s">
        <v>33</v>
      </c>
      <c r="B49" s="292"/>
      <c r="C49" s="292"/>
      <c r="D49" s="292"/>
      <c r="E49" s="292"/>
      <c r="F49" s="292"/>
      <c r="G49" s="6"/>
      <c r="H49" s="16">
        <f>+H28+H35+H42+H48</f>
        <v>4504.8530290363306</v>
      </c>
    </row>
    <row r="50" spans="1:8" ht="13.5" thickTop="1" x14ac:dyDescent="0.2"/>
  </sheetData>
  <mergeCells count="41">
    <mergeCell ref="A43:D43"/>
    <mergeCell ref="A44:B44"/>
    <mergeCell ref="A46:B46"/>
    <mergeCell ref="A49:F49"/>
    <mergeCell ref="A36:D36"/>
    <mergeCell ref="A37:D37"/>
    <mergeCell ref="A38:D38"/>
    <mergeCell ref="A39:D39"/>
    <mergeCell ref="A40:D40"/>
    <mergeCell ref="A41:D41"/>
    <mergeCell ref="A34:B34"/>
    <mergeCell ref="A21:D21"/>
    <mergeCell ref="A22:D22"/>
    <mergeCell ref="A23:D23"/>
    <mergeCell ref="A24:D24"/>
    <mergeCell ref="A25:D25"/>
    <mergeCell ref="A26:D26"/>
    <mergeCell ref="A27:D27"/>
    <mergeCell ref="A28:E28"/>
    <mergeCell ref="A29:B29"/>
    <mergeCell ref="A31:B31"/>
    <mergeCell ref="A32:B32"/>
    <mergeCell ref="A33:B33"/>
    <mergeCell ref="A20:D20"/>
    <mergeCell ref="A6:C9"/>
    <mergeCell ref="D6:F9"/>
    <mergeCell ref="G6:H9"/>
    <mergeCell ref="A10:G11"/>
    <mergeCell ref="B13:B14"/>
    <mergeCell ref="C13:F14"/>
    <mergeCell ref="A15:B15"/>
    <mergeCell ref="A16:D16"/>
    <mergeCell ref="A17:D17"/>
    <mergeCell ref="A18:D18"/>
    <mergeCell ref="A19:D19"/>
    <mergeCell ref="A1:B5"/>
    <mergeCell ref="C1:E1"/>
    <mergeCell ref="D2:G2"/>
    <mergeCell ref="C3:E3"/>
    <mergeCell ref="C4:C5"/>
    <mergeCell ref="D4:G5"/>
  </mergeCells>
  <printOptions horizontalCentered="1" verticalCentered="1"/>
  <pageMargins left="0.43307086614173229" right="0.35433070866141736" top="0.41" bottom="0.42" header="0.33" footer="0.36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8">
    <pageSetUpPr fitToPage="1"/>
  </sheetPr>
  <dimension ref="B2:G7"/>
  <sheetViews>
    <sheetView workbookViewId="0">
      <selection activeCell="B2" sqref="B2:G7"/>
    </sheetView>
  </sheetViews>
  <sheetFormatPr baseColWidth="10" defaultRowHeight="12.75" x14ac:dyDescent="0.2"/>
  <cols>
    <col min="3" max="3" width="28.85546875" customWidth="1"/>
    <col min="4" max="4" width="17.140625" customWidth="1"/>
    <col min="5" max="5" width="12.5703125" customWidth="1"/>
  </cols>
  <sheetData>
    <row r="2" spans="2:7" x14ac:dyDescent="0.2">
      <c r="C2" s="393" t="s">
        <v>212</v>
      </c>
      <c r="D2" s="394"/>
      <c r="E2" s="395"/>
      <c r="F2" s="396" t="s">
        <v>184</v>
      </c>
      <c r="G2" s="396" t="s">
        <v>185</v>
      </c>
    </row>
    <row r="3" spans="2:7" ht="13.5" thickBot="1" x14ac:dyDescent="0.25">
      <c r="B3" s="242"/>
      <c r="C3" s="237" t="s">
        <v>186</v>
      </c>
      <c r="D3" s="237" t="s">
        <v>0</v>
      </c>
      <c r="E3" s="237" t="s">
        <v>83</v>
      </c>
      <c r="F3" s="397"/>
      <c r="G3" s="397"/>
    </row>
    <row r="4" spans="2:7" ht="18.75" thickBot="1" x14ac:dyDescent="0.25">
      <c r="B4" s="229">
        <v>1</v>
      </c>
      <c r="C4" s="254" t="s">
        <v>213</v>
      </c>
      <c r="D4" s="238" t="s">
        <v>84</v>
      </c>
      <c r="E4" s="256">
        <v>53.65</v>
      </c>
      <c r="F4" s="240">
        <v>1.6899999999999998E-2</v>
      </c>
      <c r="G4" s="239">
        <f>((E4*F4)+E4)</f>
        <v>54.556685000000002</v>
      </c>
    </row>
    <row r="5" spans="2:7" ht="27.75" thickBot="1" x14ac:dyDescent="0.25">
      <c r="B5" s="229">
        <v>2</v>
      </c>
      <c r="C5" s="255" t="s">
        <v>214</v>
      </c>
      <c r="D5" s="241" t="s">
        <v>84</v>
      </c>
      <c r="E5" s="257">
        <v>557.99</v>
      </c>
      <c r="F5" s="240">
        <v>1.6899999999999998E-2</v>
      </c>
      <c r="G5" s="239">
        <f t="shared" ref="G5:G7" si="0">((E5*F5)+E5)</f>
        <v>567.42003099999999</v>
      </c>
    </row>
    <row r="6" spans="2:7" ht="13.5" thickBot="1" x14ac:dyDescent="0.25">
      <c r="B6" s="229">
        <v>3</v>
      </c>
      <c r="C6" s="255" t="s">
        <v>215</v>
      </c>
      <c r="D6" s="241" t="s">
        <v>84</v>
      </c>
      <c r="E6" s="257">
        <v>14.94</v>
      </c>
      <c r="F6" s="240">
        <v>1.6899999999999998E-2</v>
      </c>
      <c r="G6" s="239">
        <f t="shared" si="0"/>
        <v>15.192485999999999</v>
      </c>
    </row>
    <row r="7" spans="2:7" ht="13.5" thickBot="1" x14ac:dyDescent="0.25">
      <c r="B7" s="229">
        <v>4</v>
      </c>
      <c r="C7" s="255" t="s">
        <v>216</v>
      </c>
      <c r="D7" s="241" t="s">
        <v>84</v>
      </c>
      <c r="E7" s="257">
        <v>6.26</v>
      </c>
      <c r="F7" s="240">
        <v>1.6899999999999998E-2</v>
      </c>
      <c r="G7" s="239">
        <f t="shared" si="0"/>
        <v>6.3657940000000002</v>
      </c>
    </row>
  </sheetData>
  <mergeCells count="3">
    <mergeCell ref="C2:E2"/>
    <mergeCell ref="F2:F3"/>
    <mergeCell ref="G2:G3"/>
  </mergeCells>
  <pageMargins left="0.7" right="0.7" top="0.75" bottom="0.75" header="0.3" footer="0.3"/>
  <pageSetup scale="9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2:F19"/>
  <sheetViews>
    <sheetView tabSelected="1" workbookViewId="0">
      <selection activeCell="F19" sqref="F19"/>
    </sheetView>
  </sheetViews>
  <sheetFormatPr baseColWidth="10" defaultRowHeight="12.75" x14ac:dyDescent="0.2"/>
  <cols>
    <col min="1" max="1" width="9.42578125" customWidth="1"/>
    <col min="2" max="2" width="29.42578125" customWidth="1"/>
    <col min="4" max="4" width="12.7109375" customWidth="1"/>
    <col min="7" max="7" width="11.85546875" customWidth="1"/>
    <col min="244" max="244" width="6.42578125" customWidth="1"/>
    <col min="245" max="245" width="48" customWidth="1"/>
    <col min="246" max="246" width="9.140625" customWidth="1"/>
    <col min="247" max="247" width="18" customWidth="1"/>
    <col min="500" max="500" width="6.42578125" customWidth="1"/>
    <col min="501" max="501" width="48" customWidth="1"/>
    <col min="502" max="502" width="9.140625" customWidth="1"/>
    <col min="503" max="503" width="18" customWidth="1"/>
    <col min="756" max="756" width="6.42578125" customWidth="1"/>
    <col min="757" max="757" width="48" customWidth="1"/>
    <col min="758" max="758" width="9.140625" customWidth="1"/>
    <col min="759" max="759" width="18" customWidth="1"/>
    <col min="1012" max="1012" width="6.42578125" customWidth="1"/>
    <col min="1013" max="1013" width="48" customWidth="1"/>
    <col min="1014" max="1014" width="9.140625" customWidth="1"/>
    <col min="1015" max="1015" width="18" customWidth="1"/>
    <col min="1268" max="1268" width="6.42578125" customWidth="1"/>
    <col min="1269" max="1269" width="48" customWidth="1"/>
    <col min="1270" max="1270" width="9.140625" customWidth="1"/>
    <col min="1271" max="1271" width="18" customWidth="1"/>
    <col min="1524" max="1524" width="6.42578125" customWidth="1"/>
    <col min="1525" max="1525" width="48" customWidth="1"/>
    <col min="1526" max="1526" width="9.140625" customWidth="1"/>
    <col min="1527" max="1527" width="18" customWidth="1"/>
    <col min="1780" max="1780" width="6.42578125" customWidth="1"/>
    <col min="1781" max="1781" width="48" customWidth="1"/>
    <col min="1782" max="1782" width="9.140625" customWidth="1"/>
    <col min="1783" max="1783" width="18" customWidth="1"/>
    <col min="2036" max="2036" width="6.42578125" customWidth="1"/>
    <col min="2037" max="2037" width="48" customWidth="1"/>
    <col min="2038" max="2038" width="9.140625" customWidth="1"/>
    <col min="2039" max="2039" width="18" customWidth="1"/>
    <col min="2292" max="2292" width="6.42578125" customWidth="1"/>
    <col min="2293" max="2293" width="48" customWidth="1"/>
    <col min="2294" max="2294" width="9.140625" customWidth="1"/>
    <col min="2295" max="2295" width="18" customWidth="1"/>
    <col min="2548" max="2548" width="6.42578125" customWidth="1"/>
    <col min="2549" max="2549" width="48" customWidth="1"/>
    <col min="2550" max="2550" width="9.140625" customWidth="1"/>
    <col min="2551" max="2551" width="18" customWidth="1"/>
    <col min="2804" max="2804" width="6.42578125" customWidth="1"/>
    <col min="2805" max="2805" width="48" customWidth="1"/>
    <col min="2806" max="2806" width="9.140625" customWidth="1"/>
    <col min="2807" max="2807" width="18" customWidth="1"/>
    <col min="3060" max="3060" width="6.42578125" customWidth="1"/>
    <col min="3061" max="3061" width="48" customWidth="1"/>
    <col min="3062" max="3062" width="9.140625" customWidth="1"/>
    <col min="3063" max="3063" width="18" customWidth="1"/>
    <col min="3316" max="3316" width="6.42578125" customWidth="1"/>
    <col min="3317" max="3317" width="48" customWidth="1"/>
    <col min="3318" max="3318" width="9.140625" customWidth="1"/>
    <col min="3319" max="3319" width="18" customWidth="1"/>
    <col min="3572" max="3572" width="6.42578125" customWidth="1"/>
    <col min="3573" max="3573" width="48" customWidth="1"/>
    <col min="3574" max="3574" width="9.140625" customWidth="1"/>
    <col min="3575" max="3575" width="18" customWidth="1"/>
    <col min="3828" max="3828" width="6.42578125" customWidth="1"/>
    <col min="3829" max="3829" width="48" customWidth="1"/>
    <col min="3830" max="3830" width="9.140625" customWidth="1"/>
    <col min="3831" max="3831" width="18" customWidth="1"/>
    <col min="4084" max="4084" width="6.42578125" customWidth="1"/>
    <col min="4085" max="4085" width="48" customWidth="1"/>
    <col min="4086" max="4086" width="9.140625" customWidth="1"/>
    <col min="4087" max="4087" width="18" customWidth="1"/>
    <col min="4340" max="4340" width="6.42578125" customWidth="1"/>
    <col min="4341" max="4341" width="48" customWidth="1"/>
    <col min="4342" max="4342" width="9.140625" customWidth="1"/>
    <col min="4343" max="4343" width="18" customWidth="1"/>
    <col min="4596" max="4596" width="6.42578125" customWidth="1"/>
    <col min="4597" max="4597" width="48" customWidth="1"/>
    <col min="4598" max="4598" width="9.140625" customWidth="1"/>
    <col min="4599" max="4599" width="18" customWidth="1"/>
    <col min="4852" max="4852" width="6.42578125" customWidth="1"/>
    <col min="4853" max="4853" width="48" customWidth="1"/>
    <col min="4854" max="4854" width="9.140625" customWidth="1"/>
    <col min="4855" max="4855" width="18" customWidth="1"/>
    <col min="5108" max="5108" width="6.42578125" customWidth="1"/>
    <col min="5109" max="5109" width="48" customWidth="1"/>
    <col min="5110" max="5110" width="9.140625" customWidth="1"/>
    <col min="5111" max="5111" width="18" customWidth="1"/>
    <col min="5364" max="5364" width="6.42578125" customWidth="1"/>
    <col min="5365" max="5365" width="48" customWidth="1"/>
    <col min="5366" max="5366" width="9.140625" customWidth="1"/>
    <col min="5367" max="5367" width="18" customWidth="1"/>
    <col min="5620" max="5620" width="6.42578125" customWidth="1"/>
    <col min="5621" max="5621" width="48" customWidth="1"/>
    <col min="5622" max="5622" width="9.140625" customWidth="1"/>
    <col min="5623" max="5623" width="18" customWidth="1"/>
    <col min="5876" max="5876" width="6.42578125" customWidth="1"/>
    <col min="5877" max="5877" width="48" customWidth="1"/>
    <col min="5878" max="5878" width="9.140625" customWidth="1"/>
    <col min="5879" max="5879" width="18" customWidth="1"/>
    <col min="6132" max="6132" width="6.42578125" customWidth="1"/>
    <col min="6133" max="6133" width="48" customWidth="1"/>
    <col min="6134" max="6134" width="9.140625" customWidth="1"/>
    <col min="6135" max="6135" width="18" customWidth="1"/>
    <col min="6388" max="6388" width="6.42578125" customWidth="1"/>
    <col min="6389" max="6389" width="48" customWidth="1"/>
    <col min="6390" max="6390" width="9.140625" customWidth="1"/>
    <col min="6391" max="6391" width="18" customWidth="1"/>
    <col min="6644" max="6644" width="6.42578125" customWidth="1"/>
    <col min="6645" max="6645" width="48" customWidth="1"/>
    <col min="6646" max="6646" width="9.140625" customWidth="1"/>
    <col min="6647" max="6647" width="18" customWidth="1"/>
    <col min="6900" max="6900" width="6.42578125" customWidth="1"/>
    <col min="6901" max="6901" width="48" customWidth="1"/>
    <col min="6902" max="6902" width="9.140625" customWidth="1"/>
    <col min="6903" max="6903" width="18" customWidth="1"/>
    <col min="7156" max="7156" width="6.42578125" customWidth="1"/>
    <col min="7157" max="7157" width="48" customWidth="1"/>
    <col min="7158" max="7158" width="9.140625" customWidth="1"/>
    <col min="7159" max="7159" width="18" customWidth="1"/>
    <col min="7412" max="7412" width="6.42578125" customWidth="1"/>
    <col min="7413" max="7413" width="48" customWidth="1"/>
    <col min="7414" max="7414" width="9.140625" customWidth="1"/>
    <col min="7415" max="7415" width="18" customWidth="1"/>
    <col min="7668" max="7668" width="6.42578125" customWidth="1"/>
    <col min="7669" max="7669" width="48" customWidth="1"/>
    <col min="7670" max="7670" width="9.140625" customWidth="1"/>
    <col min="7671" max="7671" width="18" customWidth="1"/>
    <col min="7924" max="7924" width="6.42578125" customWidth="1"/>
    <col min="7925" max="7925" width="48" customWidth="1"/>
    <col min="7926" max="7926" width="9.140625" customWidth="1"/>
    <col min="7927" max="7927" width="18" customWidth="1"/>
    <col min="8180" max="8180" width="6.42578125" customWidth="1"/>
    <col min="8181" max="8181" width="48" customWidth="1"/>
    <col min="8182" max="8182" width="9.140625" customWidth="1"/>
    <col min="8183" max="8183" width="18" customWidth="1"/>
    <col min="8436" max="8436" width="6.42578125" customWidth="1"/>
    <col min="8437" max="8437" width="48" customWidth="1"/>
    <col min="8438" max="8438" width="9.140625" customWidth="1"/>
    <col min="8439" max="8439" width="18" customWidth="1"/>
    <col min="8692" max="8692" width="6.42578125" customWidth="1"/>
    <col min="8693" max="8693" width="48" customWidth="1"/>
    <col min="8694" max="8694" width="9.140625" customWidth="1"/>
    <col min="8695" max="8695" width="18" customWidth="1"/>
    <col min="8948" max="8948" width="6.42578125" customWidth="1"/>
    <col min="8949" max="8949" width="48" customWidth="1"/>
    <col min="8950" max="8950" width="9.140625" customWidth="1"/>
    <col min="8951" max="8951" width="18" customWidth="1"/>
    <col min="9204" max="9204" width="6.42578125" customWidth="1"/>
    <col min="9205" max="9205" width="48" customWidth="1"/>
    <col min="9206" max="9206" width="9.140625" customWidth="1"/>
    <col min="9207" max="9207" width="18" customWidth="1"/>
    <col min="9460" max="9460" width="6.42578125" customWidth="1"/>
    <col min="9461" max="9461" width="48" customWidth="1"/>
    <col min="9462" max="9462" width="9.140625" customWidth="1"/>
    <col min="9463" max="9463" width="18" customWidth="1"/>
    <col min="9716" max="9716" width="6.42578125" customWidth="1"/>
    <col min="9717" max="9717" width="48" customWidth="1"/>
    <col min="9718" max="9718" width="9.140625" customWidth="1"/>
    <col min="9719" max="9719" width="18" customWidth="1"/>
    <col min="9972" max="9972" width="6.42578125" customWidth="1"/>
    <col min="9973" max="9973" width="48" customWidth="1"/>
    <col min="9974" max="9974" width="9.140625" customWidth="1"/>
    <col min="9975" max="9975" width="18" customWidth="1"/>
    <col min="10228" max="10228" width="6.42578125" customWidth="1"/>
    <col min="10229" max="10229" width="48" customWidth="1"/>
    <col min="10230" max="10230" width="9.140625" customWidth="1"/>
    <col min="10231" max="10231" width="18" customWidth="1"/>
    <col min="10484" max="10484" width="6.42578125" customWidth="1"/>
    <col min="10485" max="10485" width="48" customWidth="1"/>
    <col min="10486" max="10486" width="9.140625" customWidth="1"/>
    <col min="10487" max="10487" width="18" customWidth="1"/>
    <col min="10740" max="10740" width="6.42578125" customWidth="1"/>
    <col min="10741" max="10741" width="48" customWidth="1"/>
    <col min="10742" max="10742" width="9.140625" customWidth="1"/>
    <col min="10743" max="10743" width="18" customWidth="1"/>
    <col min="10996" max="10996" width="6.42578125" customWidth="1"/>
    <col min="10997" max="10997" width="48" customWidth="1"/>
    <col min="10998" max="10998" width="9.140625" customWidth="1"/>
    <col min="10999" max="10999" width="18" customWidth="1"/>
    <col min="11252" max="11252" width="6.42578125" customWidth="1"/>
    <col min="11253" max="11253" width="48" customWidth="1"/>
    <col min="11254" max="11254" width="9.140625" customWidth="1"/>
    <col min="11255" max="11255" width="18" customWidth="1"/>
    <col min="11508" max="11508" width="6.42578125" customWidth="1"/>
    <col min="11509" max="11509" width="48" customWidth="1"/>
    <col min="11510" max="11510" width="9.140625" customWidth="1"/>
    <col min="11511" max="11511" width="18" customWidth="1"/>
    <col min="11764" max="11764" width="6.42578125" customWidth="1"/>
    <col min="11765" max="11765" width="48" customWidth="1"/>
    <col min="11766" max="11766" width="9.140625" customWidth="1"/>
    <col min="11767" max="11767" width="18" customWidth="1"/>
    <col min="12020" max="12020" width="6.42578125" customWidth="1"/>
    <col min="12021" max="12021" width="48" customWidth="1"/>
    <col min="12022" max="12022" width="9.140625" customWidth="1"/>
    <col min="12023" max="12023" width="18" customWidth="1"/>
    <col min="12276" max="12276" width="6.42578125" customWidth="1"/>
    <col min="12277" max="12277" width="48" customWidth="1"/>
    <col min="12278" max="12278" width="9.140625" customWidth="1"/>
    <col min="12279" max="12279" width="18" customWidth="1"/>
    <col min="12532" max="12532" width="6.42578125" customWidth="1"/>
    <col min="12533" max="12533" width="48" customWidth="1"/>
    <col min="12534" max="12534" width="9.140625" customWidth="1"/>
    <col min="12535" max="12535" width="18" customWidth="1"/>
    <col min="12788" max="12788" width="6.42578125" customWidth="1"/>
    <col min="12789" max="12789" width="48" customWidth="1"/>
    <col min="12790" max="12790" width="9.140625" customWidth="1"/>
    <col min="12791" max="12791" width="18" customWidth="1"/>
    <col min="13044" max="13044" width="6.42578125" customWidth="1"/>
    <col min="13045" max="13045" width="48" customWidth="1"/>
    <col min="13046" max="13046" width="9.140625" customWidth="1"/>
    <col min="13047" max="13047" width="18" customWidth="1"/>
    <col min="13300" max="13300" width="6.42578125" customWidth="1"/>
    <col min="13301" max="13301" width="48" customWidth="1"/>
    <col min="13302" max="13302" width="9.140625" customWidth="1"/>
    <col min="13303" max="13303" width="18" customWidth="1"/>
    <col min="13556" max="13556" width="6.42578125" customWidth="1"/>
    <col min="13557" max="13557" width="48" customWidth="1"/>
    <col min="13558" max="13558" width="9.140625" customWidth="1"/>
    <col min="13559" max="13559" width="18" customWidth="1"/>
    <col min="13812" max="13812" width="6.42578125" customWidth="1"/>
    <col min="13813" max="13813" width="48" customWidth="1"/>
    <col min="13814" max="13814" width="9.140625" customWidth="1"/>
    <col min="13815" max="13815" width="18" customWidth="1"/>
    <col min="14068" max="14068" width="6.42578125" customWidth="1"/>
    <col min="14069" max="14069" width="48" customWidth="1"/>
    <col min="14070" max="14070" width="9.140625" customWidth="1"/>
    <col min="14071" max="14071" width="18" customWidth="1"/>
    <col min="14324" max="14324" width="6.42578125" customWidth="1"/>
    <col min="14325" max="14325" width="48" customWidth="1"/>
    <col min="14326" max="14326" width="9.140625" customWidth="1"/>
    <col min="14327" max="14327" width="18" customWidth="1"/>
    <col min="14580" max="14580" width="6.42578125" customWidth="1"/>
    <col min="14581" max="14581" width="48" customWidth="1"/>
    <col min="14582" max="14582" width="9.140625" customWidth="1"/>
    <col min="14583" max="14583" width="18" customWidth="1"/>
    <col min="14836" max="14836" width="6.42578125" customWidth="1"/>
    <col min="14837" max="14837" width="48" customWidth="1"/>
    <col min="14838" max="14838" width="9.140625" customWidth="1"/>
    <col min="14839" max="14839" width="18" customWidth="1"/>
    <col min="15092" max="15092" width="6.42578125" customWidth="1"/>
    <col min="15093" max="15093" width="48" customWidth="1"/>
    <col min="15094" max="15094" width="9.140625" customWidth="1"/>
    <col min="15095" max="15095" width="18" customWidth="1"/>
    <col min="15348" max="15348" width="6.42578125" customWidth="1"/>
    <col min="15349" max="15349" width="48" customWidth="1"/>
    <col min="15350" max="15350" width="9.140625" customWidth="1"/>
    <col min="15351" max="15351" width="18" customWidth="1"/>
    <col min="15604" max="15604" width="6.42578125" customWidth="1"/>
    <col min="15605" max="15605" width="48" customWidth="1"/>
    <col min="15606" max="15606" width="9.140625" customWidth="1"/>
    <col min="15607" max="15607" width="18" customWidth="1"/>
    <col min="15860" max="15860" width="6.42578125" customWidth="1"/>
    <col min="15861" max="15861" width="48" customWidth="1"/>
    <col min="15862" max="15862" width="9.140625" customWidth="1"/>
    <col min="15863" max="15863" width="18" customWidth="1"/>
    <col min="16116" max="16116" width="6.42578125" customWidth="1"/>
    <col min="16117" max="16117" width="48" customWidth="1"/>
    <col min="16118" max="16118" width="9.140625" customWidth="1"/>
    <col min="16119" max="16119" width="18" customWidth="1"/>
  </cols>
  <sheetData>
    <row r="2" spans="1:6" x14ac:dyDescent="0.2">
      <c r="B2" s="393" t="s">
        <v>212</v>
      </c>
      <c r="C2" s="394"/>
      <c r="D2" s="395"/>
      <c r="E2" s="396" t="s">
        <v>184</v>
      </c>
      <c r="F2" s="396" t="s">
        <v>185</v>
      </c>
    </row>
    <row r="3" spans="1:6" ht="13.5" thickBot="1" x14ac:dyDescent="0.25">
      <c r="A3" s="242"/>
      <c r="B3" s="237" t="s">
        <v>186</v>
      </c>
      <c r="C3" s="237" t="s">
        <v>0</v>
      </c>
      <c r="D3" s="237" t="s">
        <v>82</v>
      </c>
      <c r="E3" s="397"/>
      <c r="F3" s="397"/>
    </row>
    <row r="4" spans="1:6" ht="13.5" thickBot="1" x14ac:dyDescent="0.25">
      <c r="A4" s="229">
        <v>1</v>
      </c>
      <c r="B4" s="274" t="s">
        <v>221</v>
      </c>
      <c r="C4" s="275" t="s">
        <v>71</v>
      </c>
      <c r="D4" s="276">
        <v>95.58</v>
      </c>
      <c r="E4" s="240">
        <v>1.6899999999999998E-2</v>
      </c>
      <c r="F4" s="239">
        <f>((D4*E4)+D4)</f>
        <v>97.195301999999998</v>
      </c>
    </row>
    <row r="5" spans="1:6" ht="13.5" thickBot="1" x14ac:dyDescent="0.25">
      <c r="A5" s="229">
        <v>2</v>
      </c>
      <c r="B5" s="277" t="s">
        <v>222</v>
      </c>
      <c r="C5" s="278" t="s">
        <v>187</v>
      </c>
      <c r="D5" s="279">
        <v>385.89</v>
      </c>
      <c r="E5" s="240">
        <v>1.6899999999999998E-2</v>
      </c>
      <c r="F5" s="239">
        <f t="shared" ref="F5:F14" si="0">((D5*E5)+D5)</f>
        <v>392.411541</v>
      </c>
    </row>
    <row r="6" spans="1:6" ht="13.5" thickBot="1" x14ac:dyDescent="0.25">
      <c r="A6" s="229">
        <v>3</v>
      </c>
      <c r="B6" s="280" t="s">
        <v>223</v>
      </c>
      <c r="C6" s="278" t="s">
        <v>187</v>
      </c>
      <c r="D6" s="279">
        <v>120</v>
      </c>
      <c r="E6" s="240">
        <v>1.6899999999999998E-2</v>
      </c>
      <c r="F6" s="239">
        <f t="shared" si="0"/>
        <v>122.02800000000001</v>
      </c>
    </row>
    <row r="7" spans="1:6" ht="20.25" thickBot="1" x14ac:dyDescent="0.25">
      <c r="A7" s="229">
        <v>4</v>
      </c>
      <c r="B7" s="280" t="s">
        <v>224</v>
      </c>
      <c r="C7" s="278" t="s">
        <v>45</v>
      </c>
      <c r="D7" s="279">
        <v>3.25</v>
      </c>
      <c r="E7" s="240">
        <v>1.6899999999999998E-2</v>
      </c>
      <c r="F7" s="239">
        <f t="shared" si="0"/>
        <v>3.3049249999999999</v>
      </c>
    </row>
    <row r="8" spans="1:6" ht="13.5" thickBot="1" x14ac:dyDescent="0.25">
      <c r="A8" s="229">
        <v>5</v>
      </c>
      <c r="B8" s="280" t="s">
        <v>225</v>
      </c>
      <c r="C8" s="278" t="s">
        <v>46</v>
      </c>
      <c r="D8" s="279">
        <v>175.25</v>
      </c>
      <c r="E8" s="240">
        <v>1.6899999999999998E-2</v>
      </c>
      <c r="F8" s="239">
        <f t="shared" si="0"/>
        <v>178.211725</v>
      </c>
    </row>
    <row r="9" spans="1:6" ht="39.75" thickBot="1" x14ac:dyDescent="0.25">
      <c r="A9" s="229">
        <v>6</v>
      </c>
      <c r="B9" s="280" t="s">
        <v>226</v>
      </c>
      <c r="C9" s="278" t="s">
        <v>245</v>
      </c>
      <c r="D9" s="279">
        <v>342.15</v>
      </c>
      <c r="E9" s="240">
        <v>1.6899999999999998E-2</v>
      </c>
      <c r="F9" s="239">
        <f t="shared" si="0"/>
        <v>347.93233499999997</v>
      </c>
    </row>
    <row r="10" spans="1:6" ht="13.5" thickBot="1" x14ac:dyDescent="0.25">
      <c r="A10" s="229">
        <v>7</v>
      </c>
      <c r="B10" s="280" t="s">
        <v>227</v>
      </c>
      <c r="C10" s="278" t="s">
        <v>45</v>
      </c>
      <c r="D10" s="279">
        <v>62.5</v>
      </c>
      <c r="E10" s="240">
        <v>1.6899999999999998E-2</v>
      </c>
      <c r="F10" s="239">
        <f t="shared" si="0"/>
        <v>63.556249999999999</v>
      </c>
    </row>
    <row r="11" spans="1:6" ht="39.75" thickBot="1" x14ac:dyDescent="0.25">
      <c r="A11" s="229">
        <v>8</v>
      </c>
      <c r="B11" s="280" t="s">
        <v>228</v>
      </c>
      <c r="C11" s="278" t="s">
        <v>245</v>
      </c>
      <c r="D11" s="279">
        <v>621.36</v>
      </c>
      <c r="E11" s="240">
        <v>1.6899999999999998E-2</v>
      </c>
      <c r="F11" s="239">
        <f t="shared" si="0"/>
        <v>631.86098400000003</v>
      </c>
    </row>
    <row r="12" spans="1:6" ht="30" thickBot="1" x14ac:dyDescent="0.25">
      <c r="A12" s="229">
        <v>9</v>
      </c>
      <c r="B12" s="280" t="s">
        <v>229</v>
      </c>
      <c r="C12" s="278" t="s">
        <v>46</v>
      </c>
      <c r="D12" s="279">
        <v>941.25</v>
      </c>
      <c r="E12" s="240">
        <v>1.6899999999999998E-2</v>
      </c>
      <c r="F12" s="239">
        <f t="shared" si="0"/>
        <v>957.15712499999995</v>
      </c>
    </row>
    <row r="13" spans="1:6" ht="13.5" thickBot="1" x14ac:dyDescent="0.25">
      <c r="A13" s="229">
        <v>10</v>
      </c>
      <c r="B13" s="280" t="s">
        <v>230</v>
      </c>
      <c r="C13" s="278" t="s">
        <v>71</v>
      </c>
      <c r="D13" s="279">
        <v>14.25</v>
      </c>
      <c r="E13" s="240">
        <v>1.6899999999999998E-2</v>
      </c>
      <c r="F13" s="239">
        <f t="shared" si="0"/>
        <v>14.490824999999999</v>
      </c>
    </row>
    <row r="14" spans="1:6" ht="13.5" thickBot="1" x14ac:dyDescent="0.25">
      <c r="A14" s="229">
        <v>11</v>
      </c>
      <c r="B14" s="280" t="s">
        <v>231</v>
      </c>
      <c r="C14" s="278" t="s">
        <v>187</v>
      </c>
      <c r="D14" s="279">
        <v>95.36</v>
      </c>
      <c r="E14" s="240">
        <v>1.6899999999999998E-2</v>
      </c>
      <c r="F14" s="239">
        <f t="shared" si="0"/>
        <v>96.971583999999993</v>
      </c>
    </row>
    <row r="15" spans="1:6" x14ac:dyDescent="0.2">
      <c r="C15" s="281"/>
    </row>
    <row r="16" spans="1:6" x14ac:dyDescent="0.2">
      <c r="B16" s="393" t="s">
        <v>198</v>
      </c>
      <c r="C16" s="394"/>
      <c r="D16" s="395"/>
      <c r="E16" s="396"/>
      <c r="F16" s="396" t="s">
        <v>185</v>
      </c>
    </row>
    <row r="17" spans="1:6" ht="13.5" thickBot="1" x14ac:dyDescent="0.25">
      <c r="A17" s="242"/>
      <c r="B17" s="237" t="s">
        <v>186</v>
      </c>
      <c r="C17" s="237" t="s">
        <v>0</v>
      </c>
      <c r="D17" s="237" t="s">
        <v>82</v>
      </c>
      <c r="E17" s="397"/>
      <c r="F17" s="397"/>
    </row>
    <row r="18" spans="1:6" ht="23.25" thickBot="1" x14ac:dyDescent="0.25">
      <c r="A18" s="229">
        <v>12</v>
      </c>
      <c r="B18" s="258" t="s">
        <v>199</v>
      </c>
      <c r="C18" s="238" t="s">
        <v>187</v>
      </c>
      <c r="D18" s="239">
        <v>638</v>
      </c>
      <c r="E18" s="240"/>
      <c r="F18" s="239">
        <f>((D18*E18)+D18)</f>
        <v>638</v>
      </c>
    </row>
    <row r="19" spans="1:6" ht="13.5" thickBot="1" x14ac:dyDescent="0.25">
      <c r="A19" s="229">
        <v>13</v>
      </c>
      <c r="B19" s="258" t="s">
        <v>200</v>
      </c>
      <c r="C19" s="241" t="s">
        <v>187</v>
      </c>
      <c r="D19" s="239">
        <v>100.2</v>
      </c>
      <c r="E19" s="240"/>
      <c r="F19" s="239">
        <f t="shared" ref="F19" si="1">((D19*E19)+D19)</f>
        <v>100.2</v>
      </c>
    </row>
  </sheetData>
  <mergeCells count="6">
    <mergeCell ref="F2:F3"/>
    <mergeCell ref="B2:D2"/>
    <mergeCell ref="E2:E3"/>
    <mergeCell ref="B16:D16"/>
    <mergeCell ref="E16:E17"/>
    <mergeCell ref="F16:F17"/>
  </mergeCells>
  <printOptions horizontalCentered="1"/>
  <pageMargins left="0.78740157480314965" right="0.59055118110236227" top="0.19685039370078741" bottom="0.59055118110236227" header="0" footer="0"/>
  <pageSetup paperSize="131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9"/>
  <dimension ref="A2:F14"/>
  <sheetViews>
    <sheetView topLeftCell="A4" workbookViewId="0">
      <selection activeCell="H11" sqref="H11"/>
    </sheetView>
  </sheetViews>
  <sheetFormatPr baseColWidth="10" defaultRowHeight="12.75" x14ac:dyDescent="0.2"/>
  <cols>
    <col min="2" max="2" width="16.140625" customWidth="1"/>
    <col min="3" max="3" width="15.28515625" customWidth="1"/>
    <col min="4" max="4" width="15.140625" customWidth="1"/>
    <col min="8" max="8" width="14" bestFit="1" customWidth="1"/>
    <col min="10" max="10" width="14" bestFit="1" customWidth="1"/>
  </cols>
  <sheetData>
    <row r="2" spans="1:6" ht="12.95" customHeight="1" thickBot="1" x14ac:dyDescent="0.25"/>
    <row r="3" spans="1:6" ht="36.950000000000003" customHeight="1" x14ac:dyDescent="0.2">
      <c r="A3" s="401" t="s">
        <v>72</v>
      </c>
      <c r="B3" s="401" t="s">
        <v>193</v>
      </c>
      <c r="C3" s="401" t="s">
        <v>197</v>
      </c>
      <c r="D3" s="403" t="s">
        <v>194</v>
      </c>
      <c r="E3" s="398" t="s">
        <v>74</v>
      </c>
    </row>
    <row r="4" spans="1:6" ht="13.5" thickBot="1" x14ac:dyDescent="0.25">
      <c r="A4" s="402"/>
      <c r="B4" s="408"/>
      <c r="C4" s="408"/>
      <c r="D4" s="404"/>
      <c r="E4" s="399"/>
    </row>
    <row r="5" spans="1:6" ht="34.5" thickBot="1" x14ac:dyDescent="0.25">
      <c r="A5" s="112" t="s">
        <v>73</v>
      </c>
      <c r="B5" s="103" t="s">
        <v>217</v>
      </c>
      <c r="C5" s="103" t="s">
        <v>220</v>
      </c>
      <c r="D5" s="103" t="s">
        <v>195</v>
      </c>
      <c r="E5" s="399"/>
    </row>
    <row r="6" spans="1:6" ht="34.35" customHeight="1" x14ac:dyDescent="0.2">
      <c r="A6" s="405" t="s">
        <v>75</v>
      </c>
      <c r="B6" s="406" t="s">
        <v>218</v>
      </c>
      <c r="C6" s="406" t="s">
        <v>219</v>
      </c>
      <c r="D6" s="406" t="s">
        <v>196</v>
      </c>
      <c r="E6" s="399"/>
    </row>
    <row r="7" spans="1:6" ht="25.5" customHeight="1" thickBot="1" x14ac:dyDescent="0.25">
      <c r="A7" s="405"/>
      <c r="B7" s="407"/>
      <c r="C7" s="407"/>
      <c r="D7" s="407"/>
      <c r="E7" s="400"/>
    </row>
    <row r="8" spans="1:6" ht="13.5" thickBot="1" x14ac:dyDescent="0.25">
      <c r="A8" s="105" t="s">
        <v>76</v>
      </c>
      <c r="B8" s="113">
        <v>45915</v>
      </c>
      <c r="C8" s="272">
        <v>44638</v>
      </c>
      <c r="D8" s="113">
        <v>43538</v>
      </c>
      <c r="E8" s="104"/>
    </row>
    <row r="9" spans="1:6" ht="26.25" thickBot="1" x14ac:dyDescent="0.25">
      <c r="A9" s="105" t="s">
        <v>77</v>
      </c>
      <c r="B9" s="114">
        <v>0.229466</v>
      </c>
      <c r="C9" s="260">
        <v>0.24890000000000001</v>
      </c>
      <c r="D9" s="259">
        <v>0.16</v>
      </c>
      <c r="E9" s="106">
        <f>(+B9+C9+D9)/3</f>
        <v>0.21278866666666665</v>
      </c>
      <c r="F9" s="107"/>
    </row>
    <row r="10" spans="1:6" ht="26.25" thickBot="1" x14ac:dyDescent="0.25">
      <c r="A10" s="105" t="s">
        <v>78</v>
      </c>
      <c r="B10" s="261">
        <v>1.3405E-2</v>
      </c>
      <c r="C10" s="260">
        <v>1.12E-2</v>
      </c>
      <c r="D10" s="260">
        <v>7.1000000000000004E-3</v>
      </c>
      <c r="E10" s="106">
        <f t="shared" ref="E10:E13" si="0">(+B10+C10+D10)/3</f>
        <v>1.0568333333333334E-2</v>
      </c>
      <c r="F10" s="107"/>
    </row>
    <row r="11" spans="1:6" ht="13.5" thickBot="1" x14ac:dyDescent="0.25">
      <c r="A11" s="105" t="s">
        <v>79</v>
      </c>
      <c r="B11" s="114">
        <v>0.1</v>
      </c>
      <c r="C11" s="273">
        <v>0.08</v>
      </c>
      <c r="D11" s="260">
        <v>0.1</v>
      </c>
      <c r="E11" s="106">
        <f t="shared" si="0"/>
        <v>9.3333333333333338E-2</v>
      </c>
      <c r="F11" s="107"/>
    </row>
    <row r="12" spans="1:6" ht="26.25" thickBot="1" x14ac:dyDescent="0.25">
      <c r="A12" s="105" t="s">
        <v>80</v>
      </c>
      <c r="B12" s="261">
        <v>8.3899999999999999E-3</v>
      </c>
      <c r="C12" s="260">
        <v>9.5999999999999992E-3</v>
      </c>
      <c r="D12" s="262">
        <v>6.0260000000000001E-3</v>
      </c>
      <c r="E12" s="106">
        <f t="shared" si="0"/>
        <v>8.0053333333333331E-3</v>
      </c>
      <c r="F12" s="107"/>
    </row>
    <row r="13" spans="1:6" ht="26.25" thickBot="1" x14ac:dyDescent="0.25">
      <c r="A13" s="105" t="s">
        <v>81</v>
      </c>
      <c r="B13" s="114">
        <v>0.05</v>
      </c>
      <c r="C13" s="260">
        <v>0.03</v>
      </c>
      <c r="D13" s="260">
        <v>0.03</v>
      </c>
      <c r="E13" s="106">
        <f t="shared" si="0"/>
        <v>3.6666666666666667E-2</v>
      </c>
      <c r="F13" s="107"/>
    </row>
    <row r="14" spans="1:6" ht="26.25" thickBot="1" x14ac:dyDescent="0.25">
      <c r="A14" s="105" t="s">
        <v>29</v>
      </c>
      <c r="B14" s="114">
        <v>0.05</v>
      </c>
      <c r="C14" s="260">
        <v>0.03</v>
      </c>
      <c r="D14" s="260">
        <v>0.02</v>
      </c>
      <c r="E14" s="106">
        <f>(B14+C14+D14)/3</f>
        <v>3.3333333333333333E-2</v>
      </c>
      <c r="F14" s="107"/>
    </row>
  </sheetData>
  <mergeCells count="9">
    <mergeCell ref="E3:E7"/>
    <mergeCell ref="A3:A4"/>
    <mergeCell ref="D3:D4"/>
    <mergeCell ref="A6:A7"/>
    <mergeCell ref="B6:B7"/>
    <mergeCell ref="C6:C7"/>
    <mergeCell ref="D6:D7"/>
    <mergeCell ref="B3:B4"/>
    <mergeCell ref="C3:C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pageSetUpPr fitToPage="1"/>
  </sheetPr>
  <dimension ref="A1:Q50"/>
  <sheetViews>
    <sheetView topLeftCell="A22" zoomScale="70" zoomScaleNormal="70" workbookViewId="0">
      <selection activeCell="O37" sqref="O37"/>
    </sheetView>
  </sheetViews>
  <sheetFormatPr baseColWidth="10" defaultRowHeight="12.75" x14ac:dyDescent="0.2"/>
  <cols>
    <col min="1" max="1" width="10.85546875" bestFit="1" customWidth="1"/>
    <col min="2" max="2" width="12.85546875" customWidth="1"/>
    <col min="4" max="4" width="15.42578125" customWidth="1"/>
    <col min="5" max="5" width="16.85546875" customWidth="1"/>
    <col min="6" max="6" width="4" customWidth="1"/>
    <col min="7" max="7" width="14" bestFit="1" customWidth="1"/>
    <col min="8" max="8" width="6.140625" bestFit="1" customWidth="1"/>
    <col min="9" max="9" width="15.85546875" customWidth="1"/>
    <col min="11" max="11" width="27.140625" customWidth="1"/>
    <col min="12" max="12" width="5.42578125" customWidth="1"/>
    <col min="13" max="13" width="15.85546875" customWidth="1"/>
    <col min="14" max="14" width="12.85546875" bestFit="1" customWidth="1"/>
    <col min="15" max="15" width="11.28515625" bestFit="1" customWidth="1"/>
    <col min="16" max="16" width="15.85546875" customWidth="1"/>
    <col min="17" max="17" width="16.5703125" bestFit="1" customWidth="1"/>
    <col min="18" max="18" width="17.42578125" customWidth="1"/>
    <col min="19" max="19" width="20.140625" customWidth="1"/>
  </cols>
  <sheetData>
    <row r="1" spans="1:17" ht="13.5" thickTop="1" x14ac:dyDescent="0.2">
      <c r="A1" s="432"/>
      <c r="B1" s="433"/>
      <c r="C1" s="434"/>
      <c r="D1" s="350"/>
      <c r="E1" s="351"/>
      <c r="F1" s="351"/>
      <c r="G1" s="351"/>
      <c r="H1" s="351"/>
      <c r="I1" s="351"/>
      <c r="J1" s="351"/>
      <c r="K1" s="351"/>
      <c r="L1" s="441"/>
      <c r="M1" s="42"/>
    </row>
    <row r="2" spans="1:17" ht="18" customHeight="1" x14ac:dyDescent="0.2">
      <c r="A2" s="435"/>
      <c r="B2" s="436"/>
      <c r="C2" s="437"/>
      <c r="D2" s="41" t="s">
        <v>62</v>
      </c>
      <c r="E2" s="442"/>
      <c r="F2" s="442"/>
      <c r="G2" s="442"/>
      <c r="H2" s="442"/>
      <c r="I2" s="442"/>
      <c r="J2" s="442"/>
      <c r="K2" s="442"/>
      <c r="L2" s="443"/>
      <c r="M2" s="39" t="s">
        <v>61</v>
      </c>
    </row>
    <row r="3" spans="1:17" ht="14.25" customHeight="1" x14ac:dyDescent="0.2">
      <c r="A3" s="435"/>
      <c r="B3" s="436"/>
      <c r="C3" s="437"/>
      <c r="D3" s="444" t="s">
        <v>60</v>
      </c>
      <c r="E3" s="442" t="s">
        <v>205</v>
      </c>
      <c r="F3" s="442"/>
      <c r="G3" s="442"/>
      <c r="H3" s="442"/>
      <c r="I3" s="442"/>
      <c r="J3" s="442"/>
      <c r="K3" s="442"/>
      <c r="L3" s="443"/>
      <c r="M3" s="40"/>
    </row>
    <row r="4" spans="1:17" ht="14.25" customHeight="1" thickBot="1" x14ac:dyDescent="0.25">
      <c r="A4" s="438"/>
      <c r="B4" s="439"/>
      <c r="C4" s="440"/>
      <c r="D4" s="445"/>
      <c r="E4" s="446"/>
      <c r="F4" s="446"/>
      <c r="G4" s="446"/>
      <c r="H4" s="446"/>
      <c r="I4" s="446"/>
      <c r="J4" s="446"/>
      <c r="K4" s="446"/>
      <c r="L4" s="447"/>
      <c r="M4" s="39"/>
    </row>
    <row r="5" spans="1:17" ht="13.5" thickTop="1" x14ac:dyDescent="0.2">
      <c r="A5" s="332" t="s">
        <v>59</v>
      </c>
      <c r="B5" s="333"/>
      <c r="C5" s="333"/>
      <c r="D5" s="333"/>
      <c r="E5" s="334"/>
      <c r="F5" s="332" t="s">
        <v>58</v>
      </c>
      <c r="G5" s="333"/>
      <c r="H5" s="333"/>
      <c r="I5" s="333"/>
      <c r="J5" s="334"/>
      <c r="K5" s="332" t="s">
        <v>57</v>
      </c>
      <c r="L5" s="334"/>
      <c r="M5" s="38"/>
    </row>
    <row r="6" spans="1:17" ht="15" x14ac:dyDescent="0.25">
      <c r="A6" s="448"/>
      <c r="B6" s="449"/>
      <c r="C6" s="449"/>
      <c r="D6" s="449"/>
      <c r="E6" s="450"/>
      <c r="F6" s="448"/>
      <c r="G6" s="449"/>
      <c r="H6" s="449"/>
      <c r="I6" s="449"/>
      <c r="J6" s="450"/>
      <c r="K6" s="448"/>
      <c r="L6" s="450"/>
      <c r="M6" s="37" t="s">
        <v>56</v>
      </c>
    </row>
    <row r="7" spans="1:17" x14ac:dyDescent="0.2">
      <c r="A7" s="448"/>
      <c r="B7" s="449"/>
      <c r="C7" s="449"/>
      <c r="D7" s="449"/>
      <c r="E7" s="450"/>
      <c r="F7" s="448"/>
      <c r="G7" s="449"/>
      <c r="H7" s="449"/>
      <c r="I7" s="449"/>
      <c r="J7" s="450"/>
      <c r="K7" s="448"/>
      <c r="L7" s="450"/>
      <c r="M7" s="36"/>
    </row>
    <row r="8" spans="1:17" ht="15.75" thickBot="1" x14ac:dyDescent="0.3">
      <c r="A8" s="335"/>
      <c r="B8" s="336"/>
      <c r="C8" s="336"/>
      <c r="D8" s="336"/>
      <c r="E8" s="337"/>
      <c r="F8" s="335"/>
      <c r="G8" s="336"/>
      <c r="H8" s="336"/>
      <c r="I8" s="336"/>
      <c r="J8" s="337"/>
      <c r="K8" s="335"/>
      <c r="L8" s="337"/>
      <c r="M8" s="35" t="s">
        <v>55</v>
      </c>
    </row>
    <row r="9" spans="1:17" ht="28.5" customHeight="1" thickTop="1" thickBot="1" x14ac:dyDescent="0.25">
      <c r="A9" s="456" t="s">
        <v>54</v>
      </c>
      <c r="B9" s="457"/>
      <c r="C9" s="457"/>
      <c r="D9" s="457"/>
      <c r="E9" s="457"/>
      <c r="F9" s="457"/>
      <c r="G9" s="457"/>
      <c r="H9" s="457"/>
      <c r="I9" s="457"/>
      <c r="J9" s="457"/>
      <c r="K9" s="457"/>
      <c r="L9" s="457"/>
      <c r="M9" s="458"/>
    </row>
    <row r="10" spans="1:17" ht="14.25" thickTop="1" thickBot="1" x14ac:dyDescent="0.25">
      <c r="A10" s="459" t="s">
        <v>53</v>
      </c>
      <c r="B10" s="459" t="s">
        <v>52</v>
      </c>
      <c r="C10" s="453" t="s">
        <v>51</v>
      </c>
      <c r="D10" s="454"/>
      <c r="E10" s="454"/>
      <c r="F10" s="455"/>
      <c r="G10" s="461" t="s">
        <v>1</v>
      </c>
      <c r="H10" s="451" t="s">
        <v>0</v>
      </c>
      <c r="I10" s="453" t="s">
        <v>5</v>
      </c>
      <c r="J10" s="454"/>
      <c r="K10" s="455"/>
      <c r="L10" s="453" t="s">
        <v>2</v>
      </c>
      <c r="M10" s="455"/>
    </row>
    <row r="11" spans="1:17" ht="13.5" thickBot="1" x14ac:dyDescent="0.25">
      <c r="A11" s="460"/>
      <c r="B11" s="460"/>
      <c r="C11" s="463" t="s">
        <v>50</v>
      </c>
      <c r="D11" s="464"/>
      <c r="E11" s="464"/>
      <c r="F11" s="465"/>
      <c r="G11" s="462"/>
      <c r="H11" s="452"/>
      <c r="I11" s="285" t="s">
        <v>49</v>
      </c>
      <c r="J11" s="466" t="s">
        <v>48</v>
      </c>
      <c r="K11" s="467"/>
      <c r="L11" s="463" t="s">
        <v>47</v>
      </c>
      <c r="M11" s="465"/>
    </row>
    <row r="12" spans="1:17" ht="38.450000000000003" customHeight="1" thickTop="1" thickBot="1" x14ac:dyDescent="0.25">
      <c r="A12" s="95">
        <v>1</v>
      </c>
      <c r="B12" s="223" t="s">
        <v>235</v>
      </c>
      <c r="C12" s="417" t="s">
        <v>232</v>
      </c>
      <c r="D12" s="418"/>
      <c r="E12" s="418"/>
      <c r="F12" s="418"/>
      <c r="G12" s="418"/>
      <c r="H12" s="418"/>
      <c r="I12" s="418"/>
      <c r="J12" s="418"/>
      <c r="K12" s="419"/>
      <c r="L12" s="283"/>
      <c r="M12" s="284"/>
      <c r="O12" s="83">
        <f>G12</f>
        <v>0</v>
      </c>
      <c r="P12">
        <v>93.59</v>
      </c>
      <c r="Q12" s="84">
        <f>O12*P12</f>
        <v>0</v>
      </c>
    </row>
    <row r="13" spans="1:17" ht="38.450000000000003" customHeight="1" thickBot="1" x14ac:dyDescent="0.25">
      <c r="A13" s="95">
        <v>1.1000000000000001</v>
      </c>
      <c r="B13" s="224" t="s">
        <v>233</v>
      </c>
      <c r="C13" s="411" t="s">
        <v>236</v>
      </c>
      <c r="D13" s="412"/>
      <c r="E13" s="412"/>
      <c r="F13" s="413"/>
      <c r="G13" s="226">
        <v>100</v>
      </c>
      <c r="H13" s="226" t="s">
        <v>245</v>
      </c>
      <c r="I13" s="96">
        <f>ROUND('PU 1.1'!H55,2)</f>
        <v>1154.71</v>
      </c>
      <c r="J13" s="420" t="e">
        <f ca="1">[8]!NumLetras(L13)</f>
        <v>#NAME?</v>
      </c>
      <c r="K13" s="421"/>
      <c r="L13" s="409">
        <f t="shared" ref="L13" si="0">G13*I13</f>
        <v>115471</v>
      </c>
      <c r="M13" s="410"/>
      <c r="O13" s="83">
        <f t="shared" ref="O13:O16" si="1">G13</f>
        <v>100</v>
      </c>
      <c r="P13">
        <v>841.03</v>
      </c>
      <c r="Q13" s="84">
        <f t="shared" ref="Q13:Q16" si="2">O13*P13</f>
        <v>84103</v>
      </c>
    </row>
    <row r="14" spans="1:17" ht="38.1" customHeight="1" thickTop="1" thickBot="1" x14ac:dyDescent="0.25">
      <c r="A14" s="95">
        <v>1.2</v>
      </c>
      <c r="B14" s="224" t="s">
        <v>233</v>
      </c>
      <c r="C14" s="414" t="s">
        <v>237</v>
      </c>
      <c r="D14" s="415"/>
      <c r="E14" s="415"/>
      <c r="F14" s="416"/>
      <c r="G14" s="225">
        <v>100</v>
      </c>
      <c r="H14" s="225" t="s">
        <v>245</v>
      </c>
      <c r="I14" s="96">
        <f>ROUND('PU 1.2'!H55,2)</f>
        <v>1616.84</v>
      </c>
      <c r="J14" s="420" t="e">
        <f ca="1">[8]!NumLetras(L14)</f>
        <v>#NAME?</v>
      </c>
      <c r="K14" s="421"/>
      <c r="L14" s="409">
        <f t="shared" ref="L14" si="3">G14*I14</f>
        <v>161684</v>
      </c>
      <c r="M14" s="410"/>
      <c r="O14" s="83">
        <f t="shared" si="1"/>
        <v>100</v>
      </c>
      <c r="P14">
        <v>196.99</v>
      </c>
      <c r="Q14" s="84">
        <f t="shared" si="2"/>
        <v>19699</v>
      </c>
    </row>
    <row r="15" spans="1:17" ht="38.1" customHeight="1" thickTop="1" thickBot="1" x14ac:dyDescent="0.25">
      <c r="A15" s="95">
        <v>1.3</v>
      </c>
      <c r="B15" s="224" t="s">
        <v>234</v>
      </c>
      <c r="C15" s="414" t="s">
        <v>238</v>
      </c>
      <c r="D15" s="415"/>
      <c r="E15" s="415"/>
      <c r="F15" s="416"/>
      <c r="G15" s="225">
        <v>100</v>
      </c>
      <c r="H15" s="225" t="s">
        <v>245</v>
      </c>
      <c r="I15" s="96">
        <f>ROUND('PU 1.3'!H55,2)</f>
        <v>2082.5100000000002</v>
      </c>
      <c r="J15" s="420" t="e">
        <f ca="1">[8]!NumLetras(L15)</f>
        <v>#NAME?</v>
      </c>
      <c r="K15" s="421"/>
      <c r="L15" s="409">
        <f t="shared" ref="L15" si="4">G15*I15</f>
        <v>208251.00000000003</v>
      </c>
      <c r="M15" s="410"/>
      <c r="O15" s="83">
        <f t="shared" si="1"/>
        <v>100</v>
      </c>
      <c r="P15" s="220">
        <v>2256.09</v>
      </c>
      <c r="Q15" s="84">
        <f t="shared" si="2"/>
        <v>225609</v>
      </c>
    </row>
    <row r="16" spans="1:17" ht="38.450000000000003" customHeight="1" thickBot="1" x14ac:dyDescent="0.25">
      <c r="A16" s="282">
        <v>2</v>
      </c>
      <c r="B16" s="224" t="s">
        <v>240</v>
      </c>
      <c r="C16" s="417" t="s">
        <v>239</v>
      </c>
      <c r="D16" s="418"/>
      <c r="E16" s="418"/>
      <c r="F16" s="418"/>
      <c r="G16" s="418"/>
      <c r="H16" s="418"/>
      <c r="I16" s="418"/>
      <c r="J16" s="418"/>
      <c r="K16" s="419"/>
      <c r="L16" s="409"/>
      <c r="M16" s="410"/>
      <c r="O16" s="83">
        <f t="shared" si="1"/>
        <v>0</v>
      </c>
      <c r="P16" s="220">
        <v>6537.25</v>
      </c>
      <c r="Q16" s="84">
        <f t="shared" si="2"/>
        <v>0</v>
      </c>
    </row>
    <row r="17" spans="1:17" ht="38.450000000000003" customHeight="1" thickBot="1" x14ac:dyDescent="0.25">
      <c r="A17" s="95">
        <v>2.1</v>
      </c>
      <c r="B17" s="224" t="s">
        <v>240</v>
      </c>
      <c r="C17" s="411" t="s">
        <v>241</v>
      </c>
      <c r="D17" s="412"/>
      <c r="E17" s="412"/>
      <c r="F17" s="413"/>
      <c r="G17" s="226">
        <v>10</v>
      </c>
      <c r="H17" s="226" t="s">
        <v>45</v>
      </c>
      <c r="I17" s="96">
        <f>ROUND('PU 1.4'!H52,2)</f>
        <v>1801.07</v>
      </c>
      <c r="J17" s="420" t="e">
        <f ca="1">[8]!NumLetras(L17)</f>
        <v>#NAME?</v>
      </c>
      <c r="K17" s="421"/>
      <c r="L17" s="409">
        <f t="shared" ref="L17:L38" si="5">G17*I17</f>
        <v>18010.7</v>
      </c>
      <c r="M17" s="410"/>
      <c r="O17" s="83"/>
      <c r="P17" s="220"/>
      <c r="Q17" s="84"/>
    </row>
    <row r="18" spans="1:17" ht="38.450000000000003" customHeight="1" thickTop="1" thickBot="1" x14ac:dyDescent="0.25">
      <c r="A18" s="95">
        <v>2.2000000000000002</v>
      </c>
      <c r="B18" s="224" t="s">
        <v>240</v>
      </c>
      <c r="C18" s="414" t="s">
        <v>242</v>
      </c>
      <c r="D18" s="415"/>
      <c r="E18" s="415"/>
      <c r="F18" s="416"/>
      <c r="G18" s="225">
        <v>10</v>
      </c>
      <c r="H18" s="225" t="s">
        <v>45</v>
      </c>
      <c r="I18" s="96">
        <f>ROUND('PU 1.5'!H52,2)</f>
        <v>1915.43</v>
      </c>
      <c r="J18" s="420" t="e">
        <f ca="1">[8]!NumLetras(L18)</f>
        <v>#NAME?</v>
      </c>
      <c r="K18" s="421"/>
      <c r="L18" s="409">
        <f t="shared" si="5"/>
        <v>19154.3</v>
      </c>
      <c r="M18" s="410"/>
      <c r="O18" s="83"/>
      <c r="P18" s="220"/>
      <c r="Q18" s="84"/>
    </row>
    <row r="19" spans="1:17" ht="38.450000000000003" customHeight="1" thickTop="1" thickBot="1" x14ac:dyDescent="0.25">
      <c r="A19" s="95">
        <v>2.2999999999999998</v>
      </c>
      <c r="B19" s="224" t="s">
        <v>240</v>
      </c>
      <c r="C19" s="414" t="s">
        <v>243</v>
      </c>
      <c r="D19" s="415"/>
      <c r="E19" s="415"/>
      <c r="F19" s="416"/>
      <c r="G19" s="225">
        <v>10</v>
      </c>
      <c r="H19" s="225" t="s">
        <v>45</v>
      </c>
      <c r="I19" s="96">
        <f>ROUND('PU 1.6'!H52,2)</f>
        <v>2333.62</v>
      </c>
      <c r="J19" s="420" t="e">
        <f ca="1">[8]!NumLetras(L19)</f>
        <v>#NAME?</v>
      </c>
      <c r="K19" s="421"/>
      <c r="L19" s="409">
        <f t="shared" si="5"/>
        <v>23336.199999999997</v>
      </c>
      <c r="M19" s="410"/>
      <c r="O19" s="83"/>
      <c r="P19" s="220"/>
      <c r="Q19" s="84"/>
    </row>
    <row r="20" spans="1:17" ht="38.450000000000003" customHeight="1" thickTop="1" thickBot="1" x14ac:dyDescent="0.25">
      <c r="A20" s="95">
        <v>2.4</v>
      </c>
      <c r="B20" s="224" t="s">
        <v>240</v>
      </c>
      <c r="C20" s="414" t="s">
        <v>244</v>
      </c>
      <c r="D20" s="415"/>
      <c r="E20" s="415"/>
      <c r="F20" s="416"/>
      <c r="G20" s="225">
        <v>5</v>
      </c>
      <c r="H20" s="225" t="s">
        <v>45</v>
      </c>
      <c r="I20" s="96">
        <f>ROUND('PU 1.7'!H52,2)</f>
        <v>2765.63</v>
      </c>
      <c r="J20" s="420" t="e">
        <f ca="1">[8]!NumLetras(L20)</f>
        <v>#NAME?</v>
      </c>
      <c r="K20" s="421"/>
      <c r="L20" s="409">
        <f t="shared" si="5"/>
        <v>13828.150000000001</v>
      </c>
      <c r="M20" s="410"/>
      <c r="O20" s="83"/>
      <c r="P20" s="220"/>
      <c r="Q20" s="84"/>
    </row>
    <row r="21" spans="1:17" ht="38.450000000000003" customHeight="1" thickBot="1" x14ac:dyDescent="0.25">
      <c r="A21" s="282">
        <v>3</v>
      </c>
      <c r="B21" s="223" t="s">
        <v>235</v>
      </c>
      <c r="C21" s="417" t="s">
        <v>247</v>
      </c>
      <c r="D21" s="418"/>
      <c r="E21" s="418"/>
      <c r="F21" s="418"/>
      <c r="G21" s="418"/>
      <c r="H21" s="418"/>
      <c r="I21" s="418"/>
      <c r="J21" s="418"/>
      <c r="K21" s="419"/>
      <c r="L21" s="409"/>
      <c r="M21" s="410"/>
      <c r="O21" s="83"/>
      <c r="P21" s="220"/>
      <c r="Q21" s="84"/>
    </row>
    <row r="22" spans="1:17" ht="38.450000000000003" customHeight="1" thickBot="1" x14ac:dyDescent="0.25">
      <c r="A22" s="95">
        <v>3.1</v>
      </c>
      <c r="B22" s="224" t="s">
        <v>233</v>
      </c>
      <c r="C22" s="411" t="s">
        <v>236</v>
      </c>
      <c r="D22" s="412"/>
      <c r="E22" s="412"/>
      <c r="F22" s="413"/>
      <c r="G22" s="226">
        <v>100</v>
      </c>
      <c r="H22" s="226" t="s">
        <v>245</v>
      </c>
      <c r="I22" s="96">
        <f>ROUND('PU 1.1'!H55,2)</f>
        <v>1154.71</v>
      </c>
      <c r="J22" s="420" t="e">
        <f ca="1">[8]!NumLetras(L22)</f>
        <v>#NAME?</v>
      </c>
      <c r="K22" s="421"/>
      <c r="L22" s="409">
        <f t="shared" si="5"/>
        <v>115471</v>
      </c>
      <c r="M22" s="410"/>
      <c r="O22" s="83"/>
      <c r="P22" s="220"/>
      <c r="Q22" s="84"/>
    </row>
    <row r="23" spans="1:17" ht="38.450000000000003" customHeight="1" thickTop="1" thickBot="1" x14ac:dyDescent="0.25">
      <c r="A23" s="95">
        <v>3.2</v>
      </c>
      <c r="B23" s="224" t="s">
        <v>233</v>
      </c>
      <c r="C23" s="414" t="s">
        <v>237</v>
      </c>
      <c r="D23" s="415"/>
      <c r="E23" s="415"/>
      <c r="F23" s="416"/>
      <c r="G23" s="225">
        <v>100</v>
      </c>
      <c r="H23" s="225" t="s">
        <v>245</v>
      </c>
      <c r="I23" s="96">
        <f>ROUND('PU 1.2'!H55,2)</f>
        <v>1616.84</v>
      </c>
      <c r="J23" s="420" t="e">
        <f ca="1">[8]!NumLetras(L23)</f>
        <v>#NAME?</v>
      </c>
      <c r="K23" s="421"/>
      <c r="L23" s="409">
        <f t="shared" si="5"/>
        <v>161684</v>
      </c>
      <c r="M23" s="410"/>
      <c r="O23" s="83"/>
      <c r="P23" s="220"/>
      <c r="Q23" s="84"/>
    </row>
    <row r="24" spans="1:17" ht="38.450000000000003" customHeight="1" thickTop="1" thickBot="1" x14ac:dyDescent="0.25">
      <c r="A24" s="95">
        <v>3.3</v>
      </c>
      <c r="B24" s="224" t="s">
        <v>234</v>
      </c>
      <c r="C24" s="414" t="s">
        <v>238</v>
      </c>
      <c r="D24" s="415"/>
      <c r="E24" s="415"/>
      <c r="F24" s="416"/>
      <c r="G24" s="225">
        <v>100</v>
      </c>
      <c r="H24" s="225" t="s">
        <v>245</v>
      </c>
      <c r="I24" s="96">
        <f>ROUND('PU 1.3'!H55,2)</f>
        <v>2082.5100000000002</v>
      </c>
      <c r="J24" s="420" t="e">
        <f ca="1">[8]!NumLetras(L24)</f>
        <v>#NAME?</v>
      </c>
      <c r="K24" s="421"/>
      <c r="L24" s="409">
        <f t="shared" si="5"/>
        <v>208251.00000000003</v>
      </c>
      <c r="M24" s="410"/>
      <c r="O24" s="83"/>
      <c r="P24" s="220"/>
      <c r="Q24" s="84"/>
    </row>
    <row r="25" spans="1:17" ht="38.450000000000003" customHeight="1" thickBot="1" x14ac:dyDescent="0.25">
      <c r="A25" s="282">
        <v>4</v>
      </c>
      <c r="B25" s="224" t="s">
        <v>240</v>
      </c>
      <c r="C25" s="417" t="s">
        <v>248</v>
      </c>
      <c r="D25" s="418"/>
      <c r="E25" s="418"/>
      <c r="F25" s="418"/>
      <c r="G25" s="418"/>
      <c r="H25" s="418"/>
      <c r="I25" s="418"/>
      <c r="J25" s="418"/>
      <c r="K25" s="419"/>
      <c r="L25" s="409"/>
      <c r="M25" s="410"/>
      <c r="O25" s="83"/>
      <c r="P25" s="220"/>
      <c r="Q25" s="84"/>
    </row>
    <row r="26" spans="1:17" ht="38.450000000000003" customHeight="1" thickBot="1" x14ac:dyDescent="0.25">
      <c r="A26" s="95">
        <v>4.0999999999999996</v>
      </c>
      <c r="B26" s="224" t="s">
        <v>240</v>
      </c>
      <c r="C26" s="411" t="s">
        <v>241</v>
      </c>
      <c r="D26" s="412"/>
      <c r="E26" s="412"/>
      <c r="F26" s="413"/>
      <c r="G26" s="226">
        <v>10</v>
      </c>
      <c r="H26" s="226" t="s">
        <v>45</v>
      </c>
      <c r="I26" s="96">
        <f>ROUND('PU 1.4'!H52,2)</f>
        <v>1801.07</v>
      </c>
      <c r="J26" s="420" t="e">
        <f ca="1">[8]!NumLetras(L26)</f>
        <v>#NAME?</v>
      </c>
      <c r="K26" s="421"/>
      <c r="L26" s="409">
        <f t="shared" si="5"/>
        <v>18010.7</v>
      </c>
      <c r="M26" s="410"/>
      <c r="O26" s="83"/>
      <c r="P26" s="220"/>
      <c r="Q26" s="84"/>
    </row>
    <row r="27" spans="1:17" ht="38.450000000000003" customHeight="1" thickTop="1" thickBot="1" x14ac:dyDescent="0.25">
      <c r="A27" s="95">
        <v>4.2</v>
      </c>
      <c r="B27" s="224" t="s">
        <v>240</v>
      </c>
      <c r="C27" s="414" t="s">
        <v>242</v>
      </c>
      <c r="D27" s="415"/>
      <c r="E27" s="415"/>
      <c r="F27" s="416"/>
      <c r="G27" s="225">
        <v>10</v>
      </c>
      <c r="H27" s="225" t="s">
        <v>45</v>
      </c>
      <c r="I27" s="96">
        <f>ROUND('PU 1.5'!H52,2)</f>
        <v>1915.43</v>
      </c>
      <c r="J27" s="420" t="e">
        <f ca="1">[8]!NumLetras(L27)</f>
        <v>#NAME?</v>
      </c>
      <c r="K27" s="421"/>
      <c r="L27" s="409">
        <f t="shared" si="5"/>
        <v>19154.3</v>
      </c>
      <c r="M27" s="410"/>
      <c r="O27" s="83"/>
      <c r="P27" s="220"/>
      <c r="Q27" s="84"/>
    </row>
    <row r="28" spans="1:17" ht="38.450000000000003" customHeight="1" thickTop="1" thickBot="1" x14ac:dyDescent="0.25">
      <c r="A28" s="95">
        <v>4.3</v>
      </c>
      <c r="B28" s="224" t="s">
        <v>240</v>
      </c>
      <c r="C28" s="414" t="s">
        <v>243</v>
      </c>
      <c r="D28" s="415"/>
      <c r="E28" s="415"/>
      <c r="F28" s="416"/>
      <c r="G28" s="225">
        <v>10</v>
      </c>
      <c r="H28" s="225" t="s">
        <v>45</v>
      </c>
      <c r="I28" s="96">
        <f>ROUND('PU 1.6'!H52,2)</f>
        <v>2333.62</v>
      </c>
      <c r="J28" s="420" t="e">
        <f ca="1">[8]!NumLetras(L28)</f>
        <v>#NAME?</v>
      </c>
      <c r="K28" s="421"/>
      <c r="L28" s="409">
        <f t="shared" si="5"/>
        <v>23336.199999999997</v>
      </c>
      <c r="M28" s="410"/>
      <c r="O28" s="83"/>
      <c r="P28" s="220"/>
      <c r="Q28" s="84"/>
    </row>
    <row r="29" spans="1:17" ht="38.450000000000003" customHeight="1" thickTop="1" thickBot="1" x14ac:dyDescent="0.25">
      <c r="A29" s="95">
        <v>4.4000000000000004</v>
      </c>
      <c r="B29" s="224" t="s">
        <v>240</v>
      </c>
      <c r="C29" s="414" t="s">
        <v>244</v>
      </c>
      <c r="D29" s="415"/>
      <c r="E29" s="415"/>
      <c r="F29" s="416"/>
      <c r="G29" s="225">
        <v>5</v>
      </c>
      <c r="H29" s="225" t="s">
        <v>45</v>
      </c>
      <c r="I29" s="96">
        <f>ROUND('PU 1.7'!H52,2)</f>
        <v>2765.63</v>
      </c>
      <c r="J29" s="420" t="e">
        <f ca="1">[8]!NumLetras(L29)</f>
        <v>#NAME?</v>
      </c>
      <c r="K29" s="421"/>
      <c r="L29" s="409">
        <f t="shared" si="5"/>
        <v>13828.150000000001</v>
      </c>
      <c r="M29" s="410"/>
      <c r="O29" s="83"/>
      <c r="P29" s="220"/>
      <c r="Q29" s="84"/>
    </row>
    <row r="30" spans="1:17" ht="38.450000000000003" customHeight="1" thickBot="1" x14ac:dyDescent="0.25">
      <c r="A30" s="282">
        <v>5</v>
      </c>
      <c r="B30" s="223" t="s">
        <v>235</v>
      </c>
      <c r="C30" s="417" t="s">
        <v>246</v>
      </c>
      <c r="D30" s="418"/>
      <c r="E30" s="418"/>
      <c r="F30" s="418"/>
      <c r="G30" s="418"/>
      <c r="H30" s="418"/>
      <c r="I30" s="418"/>
      <c r="J30" s="418"/>
      <c r="K30" s="419"/>
      <c r="L30" s="409"/>
      <c r="M30" s="410"/>
      <c r="O30" s="83"/>
      <c r="P30" s="220"/>
      <c r="Q30" s="84"/>
    </row>
    <row r="31" spans="1:17" ht="38.450000000000003" customHeight="1" thickBot="1" x14ac:dyDescent="0.25">
      <c r="A31" s="95">
        <v>5.0999999999999996</v>
      </c>
      <c r="B31" s="224" t="s">
        <v>233</v>
      </c>
      <c r="C31" s="411" t="s">
        <v>236</v>
      </c>
      <c r="D31" s="412"/>
      <c r="E31" s="412"/>
      <c r="F31" s="413"/>
      <c r="G31" s="226">
        <v>200</v>
      </c>
      <c r="H31" s="226" t="s">
        <v>245</v>
      </c>
      <c r="I31" s="96">
        <f>ROUND('PU 1.1'!H55,2)</f>
        <v>1154.71</v>
      </c>
      <c r="J31" s="420" t="e">
        <f ca="1">[8]!NumLetras(L31)</f>
        <v>#NAME?</v>
      </c>
      <c r="K31" s="421"/>
      <c r="L31" s="409">
        <f t="shared" si="5"/>
        <v>230942</v>
      </c>
      <c r="M31" s="410"/>
      <c r="O31" s="83"/>
      <c r="P31" s="220"/>
      <c r="Q31" s="84"/>
    </row>
    <row r="32" spans="1:17" ht="38.450000000000003" customHeight="1" thickTop="1" thickBot="1" x14ac:dyDescent="0.25">
      <c r="A32" s="95">
        <v>5.2</v>
      </c>
      <c r="B32" s="224" t="s">
        <v>233</v>
      </c>
      <c r="C32" s="414" t="s">
        <v>237</v>
      </c>
      <c r="D32" s="415"/>
      <c r="E32" s="415"/>
      <c r="F32" s="416"/>
      <c r="G32" s="225">
        <v>150</v>
      </c>
      <c r="H32" s="225" t="s">
        <v>245</v>
      </c>
      <c r="I32" s="96">
        <f>ROUND('PU 1.2'!H55,2)</f>
        <v>1616.84</v>
      </c>
      <c r="J32" s="420" t="e">
        <f ca="1">[8]!NumLetras(L32)</f>
        <v>#NAME?</v>
      </c>
      <c r="K32" s="421"/>
      <c r="L32" s="409">
        <f t="shared" si="5"/>
        <v>242526</v>
      </c>
      <c r="M32" s="410"/>
      <c r="O32" s="83"/>
      <c r="P32" s="220"/>
      <c r="Q32" s="84"/>
    </row>
    <row r="33" spans="1:17" ht="38.450000000000003" customHeight="1" thickTop="1" thickBot="1" x14ac:dyDescent="0.25">
      <c r="A33" s="95">
        <v>5.3</v>
      </c>
      <c r="B33" s="224" t="s">
        <v>234</v>
      </c>
      <c r="C33" s="414" t="s">
        <v>238</v>
      </c>
      <c r="D33" s="415"/>
      <c r="E33" s="415"/>
      <c r="F33" s="416"/>
      <c r="G33" s="225">
        <v>150</v>
      </c>
      <c r="H33" s="225" t="s">
        <v>245</v>
      </c>
      <c r="I33" s="96">
        <f>ROUND('PU 1.3'!H55,2)</f>
        <v>2082.5100000000002</v>
      </c>
      <c r="J33" s="420" t="e">
        <f ca="1">[8]!NumLetras(L33)</f>
        <v>#NAME?</v>
      </c>
      <c r="K33" s="421"/>
      <c r="L33" s="409">
        <f t="shared" si="5"/>
        <v>312376.50000000006</v>
      </c>
      <c r="M33" s="410"/>
      <c r="O33" s="83"/>
      <c r="P33" s="220"/>
      <c r="Q33" s="84"/>
    </row>
    <row r="34" spans="1:17" ht="38.450000000000003" customHeight="1" thickBot="1" x14ac:dyDescent="0.25">
      <c r="A34" s="282">
        <v>6</v>
      </c>
      <c r="B34" s="224" t="s">
        <v>240</v>
      </c>
      <c r="C34" s="417" t="s">
        <v>249</v>
      </c>
      <c r="D34" s="418"/>
      <c r="E34" s="418"/>
      <c r="F34" s="418"/>
      <c r="G34" s="418"/>
      <c r="H34" s="418"/>
      <c r="I34" s="418"/>
      <c r="J34" s="418"/>
      <c r="K34" s="419"/>
      <c r="L34" s="409"/>
      <c r="M34" s="410"/>
      <c r="O34" s="83"/>
      <c r="P34" s="220"/>
      <c r="Q34" s="84"/>
    </row>
    <row r="35" spans="1:17" ht="38.450000000000003" customHeight="1" thickBot="1" x14ac:dyDescent="0.25">
      <c r="A35" s="95">
        <v>6.1</v>
      </c>
      <c r="B35" s="224" t="s">
        <v>240</v>
      </c>
      <c r="C35" s="411" t="s">
        <v>241</v>
      </c>
      <c r="D35" s="412"/>
      <c r="E35" s="412"/>
      <c r="F35" s="413"/>
      <c r="G35" s="226">
        <v>10</v>
      </c>
      <c r="H35" s="226" t="s">
        <v>45</v>
      </c>
      <c r="I35" s="96">
        <f>ROUND('PU 1.4'!H52,2)</f>
        <v>1801.07</v>
      </c>
      <c r="J35" s="420" t="e">
        <f ca="1">[8]!NumLetras(L35)</f>
        <v>#NAME?</v>
      </c>
      <c r="K35" s="421"/>
      <c r="L35" s="409">
        <f t="shared" si="5"/>
        <v>18010.7</v>
      </c>
      <c r="M35" s="410"/>
      <c r="O35" s="83"/>
      <c r="P35" s="220"/>
      <c r="Q35" s="84"/>
    </row>
    <row r="36" spans="1:17" ht="38.450000000000003" customHeight="1" thickTop="1" thickBot="1" x14ac:dyDescent="0.25">
      <c r="A36" s="95">
        <v>6.2</v>
      </c>
      <c r="B36" s="224" t="s">
        <v>240</v>
      </c>
      <c r="C36" s="414" t="s">
        <v>242</v>
      </c>
      <c r="D36" s="415"/>
      <c r="E36" s="415"/>
      <c r="F36" s="416"/>
      <c r="G36" s="225">
        <v>10</v>
      </c>
      <c r="H36" s="225" t="s">
        <v>45</v>
      </c>
      <c r="I36" s="96">
        <f>ROUND('PU 1.5'!H52,2)</f>
        <v>1915.43</v>
      </c>
      <c r="J36" s="420" t="e">
        <f ca="1">[8]!NumLetras(L36)</f>
        <v>#NAME?</v>
      </c>
      <c r="K36" s="421"/>
      <c r="L36" s="409">
        <f t="shared" si="5"/>
        <v>19154.3</v>
      </c>
      <c r="M36" s="410"/>
      <c r="O36" s="83"/>
      <c r="P36" s="220"/>
      <c r="Q36" s="84"/>
    </row>
    <row r="37" spans="1:17" ht="38.450000000000003" customHeight="1" thickTop="1" thickBot="1" x14ac:dyDescent="0.25">
      <c r="A37" s="95">
        <v>6.3</v>
      </c>
      <c r="B37" s="224" t="s">
        <v>240</v>
      </c>
      <c r="C37" s="414" t="s">
        <v>243</v>
      </c>
      <c r="D37" s="415"/>
      <c r="E37" s="415"/>
      <c r="F37" s="416"/>
      <c r="G37" s="225">
        <v>10</v>
      </c>
      <c r="H37" s="225" t="s">
        <v>45</v>
      </c>
      <c r="I37" s="96">
        <f>ROUND('PU 1.6'!H52,2)</f>
        <v>2333.62</v>
      </c>
      <c r="J37" s="420" t="e">
        <f ca="1">[8]!NumLetras(L37)</f>
        <v>#NAME?</v>
      </c>
      <c r="K37" s="421"/>
      <c r="L37" s="409">
        <f t="shared" si="5"/>
        <v>23336.199999999997</v>
      </c>
      <c r="M37" s="410"/>
      <c r="O37" s="83"/>
      <c r="P37" s="220"/>
      <c r="Q37" s="84"/>
    </row>
    <row r="38" spans="1:17" ht="38.450000000000003" customHeight="1" thickTop="1" thickBot="1" x14ac:dyDescent="0.25">
      <c r="A38" s="95">
        <v>6.4</v>
      </c>
      <c r="B38" s="224" t="s">
        <v>240</v>
      </c>
      <c r="C38" s="414" t="s">
        <v>244</v>
      </c>
      <c r="D38" s="415"/>
      <c r="E38" s="415"/>
      <c r="F38" s="416"/>
      <c r="G38" s="225">
        <v>5</v>
      </c>
      <c r="H38" s="225" t="s">
        <v>45</v>
      </c>
      <c r="I38" s="96">
        <f>ROUND('PU 1.7'!H52,2)</f>
        <v>2765.63</v>
      </c>
      <c r="J38" s="420" t="e">
        <f ca="1">[8]!NumLetras(L38)</f>
        <v>#NAME?</v>
      </c>
      <c r="K38" s="421"/>
      <c r="L38" s="409">
        <f t="shared" si="5"/>
        <v>13828.150000000001</v>
      </c>
      <c r="M38" s="410"/>
      <c r="O38" s="83"/>
      <c r="P38" s="220"/>
      <c r="Q38" s="84"/>
    </row>
    <row r="39" spans="1:17" ht="24.75" customHeight="1" thickBot="1" x14ac:dyDescent="0.25">
      <c r="A39" s="424" t="s">
        <v>96</v>
      </c>
      <c r="B39" s="424"/>
      <c r="C39" s="424"/>
      <c r="D39" s="424"/>
      <c r="E39" s="424"/>
      <c r="F39" s="424"/>
      <c r="G39" s="424"/>
      <c r="H39" s="424"/>
      <c r="I39" s="425"/>
      <c r="J39" s="428" t="s">
        <v>44</v>
      </c>
      <c r="K39" s="429"/>
      <c r="L39" s="423">
        <f>SUM(L13:M38)</f>
        <v>1979644.5499999998</v>
      </c>
      <c r="M39" s="422"/>
      <c r="Q39" s="84">
        <f>SUM(Q12:Q38)</f>
        <v>329411</v>
      </c>
    </row>
    <row r="40" spans="1:17" ht="24.75" customHeight="1" thickBot="1" x14ac:dyDescent="0.25">
      <c r="A40" s="426"/>
      <c r="B40" s="426"/>
      <c r="C40" s="426"/>
      <c r="D40" s="426"/>
      <c r="E40" s="426"/>
      <c r="F40" s="426"/>
      <c r="G40" s="426"/>
      <c r="H40" s="426"/>
      <c r="I40" s="427"/>
      <c r="J40" s="428" t="s">
        <v>43</v>
      </c>
      <c r="K40" s="429"/>
      <c r="L40" s="422">
        <v>0</v>
      </c>
      <c r="M40" s="422"/>
    </row>
    <row r="41" spans="1:17" ht="24.75" customHeight="1" thickBot="1" x14ac:dyDescent="0.25">
      <c r="A41" s="426"/>
      <c r="B41" s="426"/>
      <c r="C41" s="426"/>
      <c r="D41" s="426"/>
      <c r="E41" s="426"/>
      <c r="F41" s="426"/>
      <c r="G41" s="426"/>
      <c r="H41" s="426"/>
      <c r="I41" s="427"/>
      <c r="J41" s="428" t="s">
        <v>42</v>
      </c>
      <c r="K41" s="429"/>
      <c r="L41" s="422">
        <f>+L39+L40</f>
        <v>1979644.5499999998</v>
      </c>
      <c r="M41" s="422"/>
      <c r="Q41">
        <v>6623.62</v>
      </c>
    </row>
    <row r="42" spans="1:17" ht="24.75" customHeight="1" thickBot="1" x14ac:dyDescent="0.25">
      <c r="A42" s="426"/>
      <c r="B42" s="426"/>
      <c r="C42" s="426"/>
      <c r="D42" s="426"/>
      <c r="E42" s="426"/>
      <c r="F42" s="426"/>
      <c r="G42" s="426"/>
      <c r="H42" s="426"/>
      <c r="I42" s="427"/>
      <c r="J42" s="430" t="s">
        <v>41</v>
      </c>
      <c r="K42" s="431"/>
      <c r="L42" s="422">
        <f>+L41</f>
        <v>1979644.5499999998</v>
      </c>
      <c r="M42" s="422"/>
      <c r="P42" s="97"/>
    </row>
    <row r="43" spans="1:17" ht="13.5" thickTop="1" x14ac:dyDescent="0.2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7" x14ac:dyDescent="0.2">
      <c r="A44" s="33"/>
    </row>
    <row r="45" spans="1:17" x14ac:dyDescent="0.2">
      <c r="G45" s="97"/>
    </row>
    <row r="50" spans="11:11" x14ac:dyDescent="0.2">
      <c r="K50" t="s">
        <v>175</v>
      </c>
    </row>
  </sheetData>
  <mergeCells count="102">
    <mergeCell ref="J35:K35"/>
    <mergeCell ref="J36:K36"/>
    <mergeCell ref="J37:K37"/>
    <mergeCell ref="J38:K38"/>
    <mergeCell ref="A5:E8"/>
    <mergeCell ref="F5:J8"/>
    <mergeCell ref="H10:H11"/>
    <mergeCell ref="I10:K10"/>
    <mergeCell ref="K5:L8"/>
    <mergeCell ref="A9:M9"/>
    <mergeCell ref="A10:A11"/>
    <mergeCell ref="B10:B11"/>
    <mergeCell ref="C10:F10"/>
    <mergeCell ref="G10:G11"/>
    <mergeCell ref="L10:M10"/>
    <mergeCell ref="C11:F11"/>
    <mergeCell ref="J11:K11"/>
    <mergeCell ref="L11:M11"/>
    <mergeCell ref="L16:M16"/>
    <mergeCell ref="L17:M17"/>
    <mergeCell ref="C37:F37"/>
    <mergeCell ref="C38:F38"/>
    <mergeCell ref="C31:F31"/>
    <mergeCell ref="C32:F32"/>
    <mergeCell ref="A1:C4"/>
    <mergeCell ref="D1:L1"/>
    <mergeCell ref="E2:L2"/>
    <mergeCell ref="D3:D4"/>
    <mergeCell ref="E3:L4"/>
    <mergeCell ref="L13:M13"/>
    <mergeCell ref="L15:M15"/>
    <mergeCell ref="C13:F13"/>
    <mergeCell ref="C15:F15"/>
    <mergeCell ref="C14:F14"/>
    <mergeCell ref="L14:M14"/>
    <mergeCell ref="L42:M42"/>
    <mergeCell ref="L39:M39"/>
    <mergeCell ref="L40:M40"/>
    <mergeCell ref="L41:M41"/>
    <mergeCell ref="A39:I42"/>
    <mergeCell ref="J40:K40"/>
    <mergeCell ref="J41:K41"/>
    <mergeCell ref="J39:K39"/>
    <mergeCell ref="J42:K42"/>
    <mergeCell ref="C33:F33"/>
    <mergeCell ref="L18:M18"/>
    <mergeCell ref="L19:M19"/>
    <mergeCell ref="C22:F22"/>
    <mergeCell ref="C23:F23"/>
    <mergeCell ref="C24:F24"/>
    <mergeCell ref="C18:F18"/>
    <mergeCell ref="C19:F19"/>
    <mergeCell ref="C20:F20"/>
    <mergeCell ref="J27:K27"/>
    <mergeCell ref="J28:K28"/>
    <mergeCell ref="J29:K29"/>
    <mergeCell ref="J31:K31"/>
    <mergeCell ref="J32:K32"/>
    <mergeCell ref="J33:K33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C35:F35"/>
    <mergeCell ref="C36:F36"/>
    <mergeCell ref="C12:K12"/>
    <mergeCell ref="C16:K16"/>
    <mergeCell ref="C21:K21"/>
    <mergeCell ref="C25:K25"/>
    <mergeCell ref="C30:K30"/>
    <mergeCell ref="C17:F17"/>
    <mergeCell ref="J13:K13"/>
    <mergeCell ref="J14:K14"/>
    <mergeCell ref="J15:K15"/>
    <mergeCell ref="J17:K17"/>
    <mergeCell ref="J18:K18"/>
    <mergeCell ref="J19:K19"/>
    <mergeCell ref="J20:K20"/>
    <mergeCell ref="J22:K22"/>
    <mergeCell ref="J23:K23"/>
    <mergeCell ref="J24:K24"/>
    <mergeCell ref="C34:K34"/>
    <mergeCell ref="C29:F29"/>
    <mergeCell ref="C26:F26"/>
    <mergeCell ref="C27:F27"/>
    <mergeCell ref="C28:F28"/>
    <mergeCell ref="J26:K26"/>
    <mergeCell ref="L29:M29"/>
    <mergeCell ref="L35:M35"/>
    <mergeCell ref="L36:M36"/>
    <mergeCell ref="L37:M37"/>
    <mergeCell ref="L38:M38"/>
    <mergeCell ref="L30:M30"/>
    <mergeCell ref="L31:M31"/>
    <mergeCell ref="L32:M32"/>
    <mergeCell ref="L33:M33"/>
    <mergeCell ref="L34:M34"/>
  </mergeCells>
  <pageMargins left="0.59055118110236227" right="0.39370078740157483" top="0.43" bottom="0.32" header="0" footer="0"/>
  <pageSetup scale="5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0">
    <tabColor rgb="FF00B050"/>
    <pageSetUpPr fitToPage="1"/>
  </sheetPr>
  <dimension ref="A1:I56"/>
  <sheetViews>
    <sheetView topLeftCell="A34" zoomScale="90" zoomScaleNormal="90" workbookViewId="0">
      <selection activeCell="G38" sqref="G38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  <col min="9" max="9" width="11.42578125" style="44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174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202</v>
      </c>
    </row>
    <row r="12" spans="1:8" ht="4.5" customHeight="1" thickTop="1" thickBot="1" x14ac:dyDescent="0.25"/>
    <row r="13" spans="1:8" ht="18.75" customHeight="1" thickTop="1" thickBot="1" x14ac:dyDescent="0.25">
      <c r="A13" s="119" t="s">
        <v>254</v>
      </c>
      <c r="B13" s="338" t="s">
        <v>6</v>
      </c>
      <c r="C13" s="340" t="s">
        <v>236</v>
      </c>
      <c r="D13" s="340"/>
      <c r="E13" s="340"/>
      <c r="F13" s="341"/>
      <c r="G13" s="54" t="s">
        <v>0</v>
      </c>
      <c r="H13" s="54" t="s">
        <v>245</v>
      </c>
    </row>
    <row r="14" spans="1:8" ht="15.75" customHeight="1" thickBot="1" x14ac:dyDescent="0.25">
      <c r="A14" s="118" t="s">
        <v>233</v>
      </c>
      <c r="B14" s="339"/>
      <c r="C14" s="342"/>
      <c r="D14" s="342"/>
      <c r="E14" s="342"/>
      <c r="F14" s="343"/>
      <c r="G14" s="55" t="s">
        <v>1</v>
      </c>
      <c r="H14" s="57"/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9" ht="14.25" customHeight="1" thickTop="1" thickBot="1" x14ac:dyDescent="0.25">
      <c r="A17" s="376" t="str">
        <f>Materiales!B4</f>
        <v>ALMBRE GALVANIZADO CAL. 18</v>
      </c>
      <c r="B17" s="377"/>
      <c r="C17" s="377"/>
      <c r="D17" s="377"/>
      <c r="E17" s="246" t="str">
        <f>Materiales!C4</f>
        <v>KG</v>
      </c>
      <c r="F17" s="121">
        <f>Materiales!F4</f>
        <v>97.195301999999998</v>
      </c>
      <c r="G17" s="247">
        <v>1.2E-2</v>
      </c>
      <c r="H17" s="62">
        <f t="shared" ref="H17:H23" si="0">+F17*G17</f>
        <v>1.166343624</v>
      </c>
      <c r="I17" s="108"/>
    </row>
    <row r="18" spans="1:9" ht="14.25" customHeight="1" thickTop="1" thickBot="1" x14ac:dyDescent="0.25">
      <c r="A18" s="376" t="str">
        <f>Materiales!B5</f>
        <v>PRIMARIO ANTICORROSIVO CFE-P34</v>
      </c>
      <c r="B18" s="377"/>
      <c r="C18" s="377"/>
      <c r="D18" s="377"/>
      <c r="E18" s="246" t="str">
        <f>Materiales!C5</f>
        <v>L</v>
      </c>
      <c r="F18" s="121">
        <f>Materiales!F5</f>
        <v>392.411541</v>
      </c>
      <c r="G18" s="247">
        <v>0.06</v>
      </c>
      <c r="H18" s="62">
        <f t="shared" si="0"/>
        <v>23.54469246</v>
      </c>
      <c r="I18" s="108"/>
    </row>
    <row r="19" spans="1:9" ht="14.25" customHeight="1" thickTop="1" thickBot="1" x14ac:dyDescent="0.25">
      <c r="A19" s="376" t="str">
        <f>Materiales!B6</f>
        <v>SOLVENTE CATALIZADOR CFE-P34</v>
      </c>
      <c r="B19" s="377"/>
      <c r="C19" s="377"/>
      <c r="D19" s="377"/>
      <c r="E19" s="246" t="str">
        <f>Materiales!C6</f>
        <v>L</v>
      </c>
      <c r="F19" s="121">
        <f>Materiales!F6</f>
        <v>122.02800000000001</v>
      </c>
      <c r="G19" s="247">
        <v>0.04</v>
      </c>
      <c r="H19" s="62">
        <f t="shared" si="0"/>
        <v>4.8811200000000001</v>
      </c>
      <c r="I19" s="108"/>
    </row>
    <row r="20" spans="1:9" ht="14.25" customHeight="1" thickTop="1" thickBot="1" x14ac:dyDescent="0.25">
      <c r="A20" s="376" t="str">
        <f>Materiales!B7</f>
        <v>PIJAS DE ACERO INOX. DE 3/16 X 3/4 DE LARGO</v>
      </c>
      <c r="B20" s="377"/>
      <c r="C20" s="377"/>
      <c r="D20" s="377"/>
      <c r="E20" s="246" t="str">
        <f>Materiales!C7</f>
        <v>PZA</v>
      </c>
      <c r="F20" s="121">
        <f>Materiales!F7</f>
        <v>3.3049249999999999</v>
      </c>
      <c r="G20" s="247">
        <v>10</v>
      </c>
      <c r="H20" s="62">
        <f t="shared" si="0"/>
        <v>33.049250000000001</v>
      </c>
      <c r="I20" s="108"/>
    </row>
    <row r="21" spans="1:9" ht="14.25" customHeight="1" thickTop="1" thickBot="1" x14ac:dyDescent="0.25">
      <c r="A21" s="376" t="str">
        <f>Materiales!B8</f>
        <v>LAMINA LISA CAL. 24</v>
      </c>
      <c r="B21" s="377"/>
      <c r="C21" s="377"/>
      <c r="D21" s="377"/>
      <c r="E21" s="246" t="str">
        <f>Materiales!C8</f>
        <v>M2</v>
      </c>
      <c r="F21" s="121">
        <f>Materiales!F8</f>
        <v>178.211725</v>
      </c>
      <c r="G21" s="247">
        <v>0.55000000000000004</v>
      </c>
      <c r="H21" s="62">
        <f t="shared" si="0"/>
        <v>98.016448750000009</v>
      </c>
      <c r="I21" s="108"/>
    </row>
    <row r="22" spans="1:9" ht="23.1" customHeight="1" thickTop="1" thickBot="1" x14ac:dyDescent="0.25">
      <c r="A22" s="376" t="str">
        <f>Materiales!B9</f>
        <v>MEDIAS CAÑAS DE FIBRA DE VIDRIO DE 2" ESPESOR CON BARRA DE VAPOR PARA TUBERÍAS DE 3/4" A 3 " DE DIAMETRO</v>
      </c>
      <c r="B22" s="377"/>
      <c r="C22" s="377"/>
      <c r="D22" s="377"/>
      <c r="E22" s="246" t="str">
        <f>Materiales!C9</f>
        <v>ML</v>
      </c>
      <c r="F22" s="121">
        <f>Materiales!F9</f>
        <v>347.93233499999997</v>
      </c>
      <c r="G22" s="247">
        <v>1</v>
      </c>
      <c r="H22" s="62">
        <f t="shared" si="0"/>
        <v>347.93233499999997</v>
      </c>
      <c r="I22" s="108"/>
    </row>
    <row r="23" spans="1:9" ht="14.25" customHeight="1" thickTop="1" thickBot="1" x14ac:dyDescent="0.25">
      <c r="A23" s="376" t="str">
        <f>Materiales!B10</f>
        <v>BROCHA DE 2"</v>
      </c>
      <c r="B23" s="377"/>
      <c r="C23" s="377"/>
      <c r="D23" s="377"/>
      <c r="E23" s="246" t="str">
        <f>Materiales!C10</f>
        <v>PZA</v>
      </c>
      <c r="F23" s="121">
        <f>Materiales!F10</f>
        <v>63.556249999999999</v>
      </c>
      <c r="G23" s="247">
        <v>0.1</v>
      </c>
      <c r="H23" s="62">
        <f t="shared" si="0"/>
        <v>6.3556249999999999</v>
      </c>
      <c r="I23" s="108"/>
    </row>
    <row r="24" spans="1:9" ht="14.25" customHeight="1" thickBot="1" x14ac:dyDescent="0.25">
      <c r="A24" s="381"/>
      <c r="B24" s="382"/>
      <c r="C24" s="382"/>
      <c r="D24" s="382"/>
      <c r="E24" s="246"/>
      <c r="F24" s="121"/>
      <c r="G24" s="247"/>
      <c r="H24" s="62"/>
      <c r="I24" s="108"/>
    </row>
    <row r="25" spans="1:9" ht="14.25" customHeight="1" thickBot="1" x14ac:dyDescent="0.25">
      <c r="A25" s="383"/>
      <c r="B25" s="384"/>
      <c r="C25" s="384"/>
      <c r="D25" s="384"/>
      <c r="E25" s="246"/>
      <c r="F25" s="121"/>
      <c r="G25" s="247"/>
      <c r="H25" s="101"/>
    </row>
    <row r="26" spans="1:9" ht="14.25" customHeight="1" thickBot="1" x14ac:dyDescent="0.25">
      <c r="A26" s="378"/>
      <c r="B26" s="379"/>
      <c r="C26" s="379"/>
      <c r="D26" s="380"/>
      <c r="E26" s="246"/>
      <c r="F26" s="121"/>
      <c r="G26" s="247"/>
      <c r="H26" s="101"/>
    </row>
    <row r="27" spans="1:9" ht="12" customHeight="1" thickBot="1" x14ac:dyDescent="0.25">
      <c r="A27" s="318"/>
      <c r="B27" s="319"/>
      <c r="C27" s="319"/>
      <c r="D27" s="319"/>
      <c r="E27" s="320"/>
      <c r="F27" s="65" t="s">
        <v>11</v>
      </c>
      <c r="G27" s="11"/>
      <c r="H27" s="66">
        <f>SUM(H17:H26)</f>
        <v>514.94581483399998</v>
      </c>
      <c r="I27" s="108"/>
    </row>
    <row r="28" spans="1:9" ht="12" customHeight="1" thickTop="1" thickBot="1" x14ac:dyDescent="0.25">
      <c r="A28" s="300" t="s">
        <v>3</v>
      </c>
      <c r="B28" s="301"/>
      <c r="C28" s="3"/>
      <c r="D28" s="3"/>
      <c r="E28" s="3"/>
      <c r="F28" s="3"/>
      <c r="G28" s="3"/>
      <c r="H28" s="4"/>
    </row>
    <row r="29" spans="1:9" ht="12" customHeight="1" thickTop="1" thickBot="1" x14ac:dyDescent="0.25">
      <c r="A29" s="468" t="s">
        <v>12</v>
      </c>
      <c r="B29" s="469"/>
      <c r="C29" s="5" t="s">
        <v>0</v>
      </c>
      <c r="D29" s="6" t="s">
        <v>13</v>
      </c>
      <c r="E29" s="5" t="s">
        <v>14</v>
      </c>
      <c r="F29" s="6" t="s">
        <v>15</v>
      </c>
      <c r="G29" s="5" t="s">
        <v>16</v>
      </c>
      <c r="H29" s="6" t="s">
        <v>17</v>
      </c>
    </row>
    <row r="30" spans="1:9" ht="26.1" customHeight="1" thickTop="1" thickBot="1" x14ac:dyDescent="0.25">
      <c r="A30" s="472" t="str">
        <f>'CUADR 1'!C13</f>
        <v>CUADRILLA no.1 PINTURA (0.2 DE CABO DE OF. + 1 OF.  PINTORES + 1 AYUD. OFICIAL )</v>
      </c>
      <c r="B30" s="473"/>
      <c r="C30" s="248" t="s">
        <v>63</v>
      </c>
      <c r="D30" s="115">
        <f>'CUADR 1'!H48</f>
        <v>1525.2612521082979</v>
      </c>
      <c r="E30" s="249">
        <v>1</v>
      </c>
      <c r="F30" s="250">
        <f>+D30*E30</f>
        <v>1525.2612521082979</v>
      </c>
      <c r="G30" s="251">
        <v>44</v>
      </c>
      <c r="H30" s="89">
        <f>F30/G30</f>
        <v>34.66502845700677</v>
      </c>
    </row>
    <row r="31" spans="1:9" ht="26.1" customHeight="1" thickTop="1" thickBot="1" x14ac:dyDescent="0.25">
      <c r="A31" s="470" t="str">
        <f>'CUADR 4'!C13</f>
        <v>CUADRILLA no.4 LAMINEROS  (0.6 DE CABO DE OF  2 OF.  LAMINEROS  + 2 AYUD OFICIAL+ 2 AYUDANTES GENERALES.)</v>
      </c>
      <c r="B31" s="471"/>
      <c r="C31" s="248" t="s">
        <v>63</v>
      </c>
      <c r="D31" s="265">
        <f>'CUADR 4'!H49</f>
        <v>4504.8530290363306</v>
      </c>
      <c r="E31" s="266">
        <v>1</v>
      </c>
      <c r="F31" s="250">
        <f>+D31*E31</f>
        <v>4504.8530290363306</v>
      </c>
      <c r="G31" s="251">
        <v>26</v>
      </c>
      <c r="H31" s="89">
        <f>F31/G31</f>
        <v>173.26357803985886</v>
      </c>
    </row>
    <row r="32" spans="1:9" ht="26.1" customHeight="1" thickTop="1" thickBot="1" x14ac:dyDescent="0.25">
      <c r="A32" s="474" t="str">
        <f>'CUADR 3'!C13</f>
        <v>CUADRILLA no.3 AISLAMIENTOS  (0.3 DE CABO DE OF  1 OF.  AISLADOR  + 2 AYUD OFICIAL.)</v>
      </c>
      <c r="B32" s="475"/>
      <c r="C32" s="252" t="s">
        <v>63</v>
      </c>
      <c r="D32" s="116">
        <f>'CUADR 3'!H48</f>
        <v>2253.5629213639095</v>
      </c>
      <c r="E32" s="246">
        <v>1</v>
      </c>
      <c r="F32" s="250">
        <f>+D32*E32</f>
        <v>2253.5629213639095</v>
      </c>
      <c r="G32" s="253">
        <v>34</v>
      </c>
      <c r="H32" s="89">
        <f>F32/G32</f>
        <v>66.281262393056167</v>
      </c>
    </row>
    <row r="33" spans="1:9" ht="12" customHeight="1" thickBot="1" x14ac:dyDescent="0.25">
      <c r="A33" s="14"/>
      <c r="B33" s="15"/>
      <c r="C33" s="15"/>
      <c r="D33" s="15"/>
      <c r="E33" s="9"/>
      <c r="F33" s="12" t="s">
        <v>18</v>
      </c>
      <c r="G33" s="5"/>
      <c r="H33" s="16">
        <f>SUM(H30:H32)</f>
        <v>274.20986888992178</v>
      </c>
    </row>
    <row r="34" spans="1:9" ht="12" customHeight="1" thickTop="1" thickBot="1" x14ac:dyDescent="0.25">
      <c r="A34" s="309" t="s">
        <v>19</v>
      </c>
      <c r="B34" s="310"/>
      <c r="C34" s="310"/>
      <c r="D34" s="310"/>
      <c r="E34" s="85"/>
      <c r="F34" s="85"/>
      <c r="G34" s="85"/>
      <c r="H34" s="86"/>
    </row>
    <row r="35" spans="1:9" ht="12" customHeight="1" thickBot="1" x14ac:dyDescent="0.25">
      <c r="A35" s="311" t="s">
        <v>7</v>
      </c>
      <c r="B35" s="312"/>
      <c r="C35" s="312"/>
      <c r="D35" s="313"/>
      <c r="E35" s="122" t="s">
        <v>0</v>
      </c>
      <c r="F35" s="122" t="s">
        <v>20</v>
      </c>
      <c r="G35" s="122" t="s">
        <v>21</v>
      </c>
      <c r="H35" s="88" t="s">
        <v>22</v>
      </c>
    </row>
    <row r="36" spans="1:9" ht="15.95" customHeight="1" thickTop="1" thickBot="1" x14ac:dyDescent="0.25">
      <c r="A36" s="314" t="str">
        <f>EQUIPOS!C4</f>
        <v>ANDAMIOS CON CANASTILLA Y GUINDOLA</v>
      </c>
      <c r="B36" s="315"/>
      <c r="C36" s="315"/>
      <c r="D36" s="315"/>
      <c r="E36" s="218" t="str">
        <f>EQUIPOS!D4</f>
        <v>HORA</v>
      </c>
      <c r="F36" s="263">
        <f>EQUIPOS!G4</f>
        <v>54.556685000000002</v>
      </c>
      <c r="G36" s="219">
        <v>2</v>
      </c>
      <c r="H36" s="60">
        <f>F36/G36</f>
        <v>27.278342500000001</v>
      </c>
      <c r="I36" s="109"/>
    </row>
    <row r="37" spans="1:9" ht="23.1" customHeight="1" thickTop="1" thickBot="1" x14ac:dyDescent="0.25">
      <c r="A37" s="314" t="str">
        <f>EQUIPOS!C5</f>
        <v>CAMION DOBLE RODADA CHEVROLET SILVERADO CON PLATAFORMA DE REDILAS CARGA HASTA 2 1/2 TON.</v>
      </c>
      <c r="B37" s="315"/>
      <c r="C37" s="315"/>
      <c r="D37" s="315"/>
      <c r="E37" s="218" t="str">
        <f>EQUIPOS!D5</f>
        <v>HORA</v>
      </c>
      <c r="F37" s="263">
        <f>EQUIPOS!G5</f>
        <v>567.42003099999999</v>
      </c>
      <c r="G37" s="219">
        <v>36</v>
      </c>
      <c r="H37" s="60">
        <f t="shared" ref="H37:H39" si="1">F37/G37</f>
        <v>15.761667527777778</v>
      </c>
      <c r="I37" s="109"/>
    </row>
    <row r="38" spans="1:9" ht="12" customHeight="1" thickTop="1" thickBot="1" x14ac:dyDescent="0.25">
      <c r="A38" s="314" t="str">
        <f>EQUIPOS!C6</f>
        <v>BUFFER/PULIDOR DE DISCO DE 4 1/2</v>
      </c>
      <c r="B38" s="315"/>
      <c r="C38" s="315"/>
      <c r="D38" s="315"/>
      <c r="E38" s="218" t="str">
        <f>EQUIPOS!D6</f>
        <v>HORA</v>
      </c>
      <c r="F38" s="263">
        <f>EQUIPOS!G6</f>
        <v>15.192485999999999</v>
      </c>
      <c r="G38" s="219">
        <v>5</v>
      </c>
      <c r="H38" s="60">
        <f t="shared" si="1"/>
        <v>3.0384971999999997</v>
      </c>
      <c r="I38" s="109"/>
    </row>
    <row r="39" spans="1:9" ht="12" customHeight="1" thickTop="1" thickBot="1" x14ac:dyDescent="0.25">
      <c r="A39" s="314" t="str">
        <f>EQUIPOS!C7</f>
        <v>BISELADOR A DE LAMINA</v>
      </c>
      <c r="B39" s="315"/>
      <c r="C39" s="315"/>
      <c r="D39" s="315"/>
      <c r="E39" s="218" t="str">
        <f>EQUIPOS!D7</f>
        <v>HORA</v>
      </c>
      <c r="F39" s="263">
        <f>EQUIPOS!G7</f>
        <v>6.3657940000000002</v>
      </c>
      <c r="G39" s="219">
        <v>14</v>
      </c>
      <c r="H39" s="60">
        <f t="shared" si="1"/>
        <v>0.45469957142857143</v>
      </c>
      <c r="I39" s="109"/>
    </row>
    <row r="40" spans="1:9" ht="12" customHeight="1" thickBot="1" x14ac:dyDescent="0.25">
      <c r="A40" s="17"/>
      <c r="B40" s="18"/>
      <c r="C40" s="18"/>
      <c r="D40" s="18"/>
      <c r="E40" s="6"/>
      <c r="F40" s="117" t="s">
        <v>23</v>
      </c>
      <c r="G40" s="87"/>
      <c r="H40" s="217">
        <f>SUM(H36:H39)</f>
        <v>46.533206799206354</v>
      </c>
      <c r="I40" s="109"/>
    </row>
    <row r="41" spans="1:9" ht="12" customHeight="1" thickTop="1" thickBot="1" x14ac:dyDescent="0.25">
      <c r="A41" s="300" t="s">
        <v>24</v>
      </c>
      <c r="B41" s="301"/>
      <c r="C41" s="301"/>
      <c r="D41" s="301"/>
      <c r="E41" s="3"/>
      <c r="F41" s="3"/>
      <c r="G41" s="3"/>
      <c r="H41" s="4"/>
    </row>
    <row r="42" spans="1:9" ht="12" customHeight="1" thickTop="1" thickBot="1" x14ac:dyDescent="0.25">
      <c r="A42" s="316" t="s">
        <v>25</v>
      </c>
      <c r="B42" s="317"/>
      <c r="C42" s="19"/>
      <c r="D42" s="19"/>
      <c r="E42" s="20"/>
      <c r="F42" s="21" t="s">
        <v>26</v>
      </c>
      <c r="G42" s="6" t="s">
        <v>27</v>
      </c>
      <c r="H42" s="6" t="s">
        <v>28</v>
      </c>
    </row>
    <row r="43" spans="1:9" ht="12" customHeight="1" thickTop="1" thickBot="1" x14ac:dyDescent="0.25">
      <c r="A43" s="17"/>
      <c r="B43" s="18"/>
      <c r="C43" s="18"/>
      <c r="D43" s="18"/>
      <c r="E43" s="6"/>
      <c r="F43" s="244">
        <f>SOBRECOSTOS!E13</f>
        <v>3.6666666666666667E-2</v>
      </c>
      <c r="G43" s="78">
        <f>+H33</f>
        <v>274.20986888992178</v>
      </c>
      <c r="H43" s="69">
        <f>+F43*G43</f>
        <v>10.054361859297131</v>
      </c>
      <c r="I43" s="110"/>
    </row>
    <row r="44" spans="1:9" ht="12" customHeight="1" thickTop="1" thickBot="1" x14ac:dyDescent="0.25">
      <c r="A44" s="298" t="s">
        <v>29</v>
      </c>
      <c r="B44" s="299"/>
      <c r="C44" s="22"/>
      <c r="D44" s="22"/>
      <c r="E44" s="23"/>
      <c r="F44" s="79" t="s">
        <v>30</v>
      </c>
      <c r="G44" s="80" t="s">
        <v>27</v>
      </c>
      <c r="H44" s="81" t="s">
        <v>31</v>
      </c>
      <c r="I44" s="111"/>
    </row>
    <row r="45" spans="1:9" ht="12" customHeight="1" thickBot="1" x14ac:dyDescent="0.25">
      <c r="A45" s="13"/>
      <c r="B45" s="12"/>
      <c r="C45" s="12"/>
      <c r="D45" s="12"/>
      <c r="E45" s="5"/>
      <c r="F45" s="245">
        <f>SOBRECOSTOS!E14</f>
        <v>3.3333333333333333E-2</v>
      </c>
      <c r="G45" s="76">
        <f>+H33</f>
        <v>274.20986888992178</v>
      </c>
      <c r="H45" s="75">
        <f>+F45*G45</f>
        <v>9.1403289629973923</v>
      </c>
      <c r="I45" s="110"/>
    </row>
    <row r="46" spans="1:9" ht="12" customHeight="1" thickTop="1" thickBot="1" x14ac:dyDescent="0.25">
      <c r="A46" s="10"/>
      <c r="B46" s="7"/>
      <c r="C46" s="7"/>
      <c r="D46" s="7"/>
      <c r="E46" s="8"/>
      <c r="F46" s="18" t="s">
        <v>32</v>
      </c>
      <c r="G46" s="6"/>
      <c r="H46" s="16">
        <f>+H43+H45</f>
        <v>19.194690822294525</v>
      </c>
      <c r="I46" s="110"/>
    </row>
    <row r="47" spans="1:9" ht="12" customHeight="1" thickTop="1" thickBot="1" x14ac:dyDescent="0.25">
      <c r="A47" s="291" t="s">
        <v>33</v>
      </c>
      <c r="B47" s="292"/>
      <c r="C47" s="292"/>
      <c r="D47" s="292"/>
      <c r="E47" s="292"/>
      <c r="F47" s="292"/>
      <c r="G47" s="6"/>
      <c r="H47" s="16">
        <f>+H27+H33+H40+H46</f>
        <v>854.88358134542273</v>
      </c>
      <c r="I47" s="108"/>
    </row>
    <row r="48" spans="1:9" ht="12" customHeight="1" thickTop="1" thickBot="1" x14ac:dyDescent="0.25">
      <c r="A48" s="24"/>
      <c r="B48" s="25"/>
      <c r="C48" s="25"/>
      <c r="D48" s="25"/>
      <c r="E48" s="25"/>
      <c r="F48" s="25"/>
      <c r="G48" s="25"/>
      <c r="H48" s="25"/>
    </row>
    <row r="49" spans="1:9" ht="12" customHeight="1" thickTop="1" thickBot="1" x14ac:dyDescent="0.25">
      <c r="A49" s="293" t="s">
        <v>34</v>
      </c>
      <c r="B49" s="294"/>
      <c r="C49" s="294"/>
      <c r="D49" s="26"/>
      <c r="E49" s="26"/>
      <c r="F49" s="2"/>
      <c r="G49" s="2" t="s">
        <v>4</v>
      </c>
      <c r="H49" s="2" t="s">
        <v>2</v>
      </c>
    </row>
    <row r="50" spans="1:9" ht="12" customHeight="1" thickTop="1" thickBot="1" x14ac:dyDescent="0.25">
      <c r="A50" s="295" t="s">
        <v>35</v>
      </c>
      <c r="B50" s="296"/>
      <c r="C50" s="296"/>
      <c r="D50" s="296"/>
      <c r="E50" s="27"/>
      <c r="F50" s="28"/>
      <c r="G50" s="29">
        <f>SOBRECOSTOS!E9</f>
        <v>0.21278866666666665</v>
      </c>
      <c r="H50" s="30">
        <f>+G50*H47</f>
        <v>181.90953742971737</v>
      </c>
    </row>
    <row r="51" spans="1:9" ht="12" customHeight="1" thickTop="1" thickBot="1" x14ac:dyDescent="0.25">
      <c r="A51" s="295" t="s">
        <v>36</v>
      </c>
      <c r="B51" s="296"/>
      <c r="C51" s="296"/>
      <c r="D51" s="296"/>
      <c r="E51" s="296"/>
      <c r="F51" s="297"/>
      <c r="G51" s="29">
        <f>SOBRECOSTOS!E10</f>
        <v>1.0568333333333334E-2</v>
      </c>
      <c r="H51" s="30">
        <f>(H47+H50)*G51</f>
        <v>10.957175276921939</v>
      </c>
    </row>
    <row r="52" spans="1:9" ht="12" customHeight="1" thickTop="1" thickBot="1" x14ac:dyDescent="0.25">
      <c r="A52" s="295" t="s">
        <v>37</v>
      </c>
      <c r="B52" s="296"/>
      <c r="C52" s="296"/>
      <c r="D52" s="296"/>
      <c r="E52" s="296"/>
      <c r="F52" s="297"/>
      <c r="G52" s="29">
        <f>SOBRECOSTOS!E11</f>
        <v>9.3333333333333338E-2</v>
      </c>
      <c r="H52" s="30">
        <f>(H47+H50+H51)*G52</f>
        <v>97.790027444859135</v>
      </c>
    </row>
    <row r="53" spans="1:9" ht="12" customHeight="1" thickTop="1" thickBot="1" x14ac:dyDescent="0.25">
      <c r="A53" s="295" t="s">
        <v>38</v>
      </c>
      <c r="B53" s="296"/>
      <c r="C53" s="296"/>
      <c r="D53" s="296"/>
      <c r="E53" s="296"/>
      <c r="F53" s="297"/>
      <c r="G53" s="29">
        <f>SOBRECOSTOS!E12</f>
        <v>8.0053333333333331E-3</v>
      </c>
      <c r="H53" s="30">
        <f>(H47+H50+H51+H52)*G53</f>
        <v>9.1704321203566863</v>
      </c>
    </row>
    <row r="54" spans="1:9" ht="12" customHeight="1" thickTop="1" thickBot="1" x14ac:dyDescent="0.25">
      <c r="A54" s="286" t="s">
        <v>5</v>
      </c>
      <c r="B54" s="287"/>
      <c r="C54" s="31"/>
      <c r="D54" s="31"/>
      <c r="E54" s="31"/>
      <c r="F54" s="31"/>
      <c r="G54" s="31"/>
      <c r="H54" s="32"/>
    </row>
    <row r="55" spans="1:9" ht="18" customHeight="1" thickTop="1" thickBot="1" x14ac:dyDescent="0.25">
      <c r="A55" s="288" t="s">
        <v>39</v>
      </c>
      <c r="B55" s="289"/>
      <c r="C55" s="289"/>
      <c r="D55" s="289"/>
      <c r="E55" s="289"/>
      <c r="F55" s="289"/>
      <c r="G55" s="290"/>
      <c r="H55" s="58">
        <f>SUM(H50:H53)+H47</f>
        <v>1154.7107536172778</v>
      </c>
      <c r="I55" s="45"/>
    </row>
    <row r="56" spans="1:9" ht="13.5" thickTop="1" x14ac:dyDescent="0.2"/>
  </sheetData>
  <mergeCells count="47">
    <mergeCell ref="A39:D39"/>
    <mergeCell ref="A36:D36"/>
    <mergeCell ref="A15:B15"/>
    <mergeCell ref="A37:D37"/>
    <mergeCell ref="A38:D38"/>
    <mergeCell ref="A27:E27"/>
    <mergeCell ref="A28:B28"/>
    <mergeCell ref="A30:B30"/>
    <mergeCell ref="A32:B32"/>
    <mergeCell ref="A16:D16"/>
    <mergeCell ref="A17:D17"/>
    <mergeCell ref="A18:D18"/>
    <mergeCell ref="A19:D19"/>
    <mergeCell ref="A20:D20"/>
    <mergeCell ref="A21:D21"/>
    <mergeCell ref="A22:D22"/>
    <mergeCell ref="A1:B5"/>
    <mergeCell ref="C1:E1"/>
    <mergeCell ref="D2:G2"/>
    <mergeCell ref="C3:E3"/>
    <mergeCell ref="C4:C5"/>
    <mergeCell ref="D4:G5"/>
    <mergeCell ref="A6:C9"/>
    <mergeCell ref="D6:F9"/>
    <mergeCell ref="G6:H9"/>
    <mergeCell ref="A10:G11"/>
    <mergeCell ref="C13:F14"/>
    <mergeCell ref="B13:B14"/>
    <mergeCell ref="A23:D23"/>
    <mergeCell ref="A24:D24"/>
    <mergeCell ref="A25:D25"/>
    <mergeCell ref="A34:D34"/>
    <mergeCell ref="A35:D35"/>
    <mergeCell ref="A26:D26"/>
    <mergeCell ref="A29:B29"/>
    <mergeCell ref="A31:B31"/>
    <mergeCell ref="A55:G55"/>
    <mergeCell ref="A41:D41"/>
    <mergeCell ref="A42:B42"/>
    <mergeCell ref="A44:B44"/>
    <mergeCell ref="A47:F47"/>
    <mergeCell ref="A49:C49"/>
    <mergeCell ref="A50:D50"/>
    <mergeCell ref="A51:F51"/>
    <mergeCell ref="A52:F52"/>
    <mergeCell ref="A53:F53"/>
    <mergeCell ref="A54:B54"/>
  </mergeCells>
  <printOptions horizontalCentered="1" verticalCentered="1"/>
  <pageMargins left="0.43307086614173229" right="0.35433070866141736" top="0.41" bottom="0.42" header="0.33" footer="0.36"/>
  <pageSetup scale="9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23E4-98E3-4D64-AE88-87DA92FA0C9B}">
  <sheetPr>
    <tabColor rgb="FF00B050"/>
    <pageSetUpPr fitToPage="1"/>
  </sheetPr>
  <dimension ref="A1:I56"/>
  <sheetViews>
    <sheetView topLeftCell="A10" zoomScale="90" zoomScaleNormal="90" workbookViewId="0">
      <selection activeCell="G38" sqref="G38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  <col min="9" max="9" width="11.42578125" style="44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261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202</v>
      </c>
    </row>
    <row r="12" spans="1:8" ht="4.5" customHeight="1" thickTop="1" thickBot="1" x14ac:dyDescent="0.25"/>
    <row r="13" spans="1:8" ht="18.75" customHeight="1" thickTop="1" thickBot="1" x14ac:dyDescent="0.25">
      <c r="A13" s="119" t="s">
        <v>255</v>
      </c>
      <c r="B13" s="338" t="s">
        <v>6</v>
      </c>
      <c r="C13" s="340" t="s">
        <v>237</v>
      </c>
      <c r="D13" s="340"/>
      <c r="E13" s="340"/>
      <c r="F13" s="341"/>
      <c r="G13" s="54" t="s">
        <v>0</v>
      </c>
      <c r="H13" s="54" t="s">
        <v>245</v>
      </c>
    </row>
    <row r="14" spans="1:8" ht="15.75" customHeight="1" thickBot="1" x14ac:dyDescent="0.25">
      <c r="A14" s="118" t="s">
        <v>233</v>
      </c>
      <c r="B14" s="339"/>
      <c r="C14" s="342"/>
      <c r="D14" s="342"/>
      <c r="E14" s="342"/>
      <c r="F14" s="343"/>
      <c r="G14" s="55" t="s">
        <v>1</v>
      </c>
      <c r="H14" s="57"/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9" ht="14.25" customHeight="1" thickTop="1" thickBot="1" x14ac:dyDescent="0.25">
      <c r="A17" s="376" t="str">
        <f>Materiales!B4</f>
        <v>ALMBRE GALVANIZADO CAL. 18</v>
      </c>
      <c r="B17" s="377"/>
      <c r="C17" s="377"/>
      <c r="D17" s="377"/>
      <c r="E17" s="246" t="str">
        <f>Materiales!C4</f>
        <v>KG</v>
      </c>
      <c r="F17" s="121">
        <f>Materiales!F4</f>
        <v>97.195301999999998</v>
      </c>
      <c r="G17" s="247">
        <v>2.1999999999999999E-2</v>
      </c>
      <c r="H17" s="62">
        <f t="shared" ref="H17:H23" si="0">+F17*G17</f>
        <v>2.138296644</v>
      </c>
      <c r="I17" s="108"/>
    </row>
    <row r="18" spans="1:9" ht="14.25" customHeight="1" thickTop="1" thickBot="1" x14ac:dyDescent="0.25">
      <c r="A18" s="376" t="str">
        <f>Materiales!B5</f>
        <v>PRIMARIO ANTICORROSIVO CFE-P34</v>
      </c>
      <c r="B18" s="377"/>
      <c r="C18" s="377"/>
      <c r="D18" s="377"/>
      <c r="E18" s="246" t="str">
        <f>Materiales!C5</f>
        <v>L</v>
      </c>
      <c r="F18" s="121">
        <f>Materiales!F5</f>
        <v>392.411541</v>
      </c>
      <c r="G18" s="247">
        <v>0.08</v>
      </c>
      <c r="H18" s="62">
        <f t="shared" si="0"/>
        <v>31.392923280000002</v>
      </c>
      <c r="I18" s="108"/>
    </row>
    <row r="19" spans="1:9" ht="14.25" customHeight="1" thickTop="1" thickBot="1" x14ac:dyDescent="0.25">
      <c r="A19" s="376" t="str">
        <f>Materiales!B6</f>
        <v>SOLVENTE CATALIZADOR CFE-P34</v>
      </c>
      <c r="B19" s="377"/>
      <c r="C19" s="377"/>
      <c r="D19" s="377"/>
      <c r="E19" s="246" t="str">
        <f>Materiales!C6</f>
        <v>L</v>
      </c>
      <c r="F19" s="121">
        <f>Materiales!F6</f>
        <v>122.02800000000001</v>
      </c>
      <c r="G19" s="247">
        <v>0.06</v>
      </c>
      <c r="H19" s="62">
        <f t="shared" si="0"/>
        <v>7.3216799999999997</v>
      </c>
      <c r="I19" s="108"/>
    </row>
    <row r="20" spans="1:9" ht="14.25" customHeight="1" thickTop="1" thickBot="1" x14ac:dyDescent="0.25">
      <c r="A20" s="376" t="str">
        <f>Materiales!B7</f>
        <v>PIJAS DE ACERO INOX. DE 3/16 X 3/4 DE LARGO</v>
      </c>
      <c r="B20" s="377"/>
      <c r="C20" s="377"/>
      <c r="D20" s="377"/>
      <c r="E20" s="246" t="str">
        <f>Materiales!C7</f>
        <v>PZA</v>
      </c>
      <c r="F20" s="121">
        <f>Materiales!F7</f>
        <v>3.3049249999999999</v>
      </c>
      <c r="G20" s="247">
        <v>10</v>
      </c>
      <c r="H20" s="62">
        <f t="shared" si="0"/>
        <v>33.049250000000001</v>
      </c>
      <c r="I20" s="108"/>
    </row>
    <row r="21" spans="1:9" ht="14.25" customHeight="1" thickTop="1" thickBot="1" x14ac:dyDescent="0.25">
      <c r="A21" s="376" t="str">
        <f>Materiales!B8</f>
        <v>LAMINA LISA CAL. 24</v>
      </c>
      <c r="B21" s="377"/>
      <c r="C21" s="377"/>
      <c r="D21" s="377"/>
      <c r="E21" s="246" t="str">
        <f>Materiales!C8</f>
        <v>M2</v>
      </c>
      <c r="F21" s="121">
        <f>Materiales!F8</f>
        <v>178.211725</v>
      </c>
      <c r="G21" s="247">
        <v>0.55000000000000004</v>
      </c>
      <c r="H21" s="62">
        <f t="shared" si="0"/>
        <v>98.016448750000009</v>
      </c>
      <c r="I21" s="108"/>
    </row>
    <row r="22" spans="1:9" ht="23.1" customHeight="1" thickTop="1" thickBot="1" x14ac:dyDescent="0.25">
      <c r="A22" s="376" t="str">
        <f>Materiales!B11</f>
        <v>MEDIAS CAÑAS DE FIBRA DE VIDRIO DE 2" ESPESOR CON BARRA DE VAPOR PARA TUBERÍAS DE 4" A 6 " DE DIAMETRO</v>
      </c>
      <c r="B22" s="377"/>
      <c r="C22" s="377"/>
      <c r="D22" s="377"/>
      <c r="E22" s="246" t="str">
        <f>Materiales!C11</f>
        <v>ML</v>
      </c>
      <c r="F22" s="121">
        <f>Materiales!F11</f>
        <v>631.86098400000003</v>
      </c>
      <c r="G22" s="247">
        <v>1</v>
      </c>
      <c r="H22" s="62">
        <f t="shared" si="0"/>
        <v>631.86098400000003</v>
      </c>
      <c r="I22" s="108"/>
    </row>
    <row r="23" spans="1:9" ht="14.25" customHeight="1" thickTop="1" thickBot="1" x14ac:dyDescent="0.25">
      <c r="A23" s="376" t="str">
        <f>Materiales!B10</f>
        <v>BROCHA DE 2"</v>
      </c>
      <c r="B23" s="377"/>
      <c r="C23" s="377"/>
      <c r="D23" s="377"/>
      <c r="E23" s="246" t="str">
        <f>Materiales!C10</f>
        <v>PZA</v>
      </c>
      <c r="F23" s="121">
        <f>Materiales!F10</f>
        <v>63.556249999999999</v>
      </c>
      <c r="G23" s="247">
        <v>0.1</v>
      </c>
      <c r="H23" s="62">
        <f t="shared" si="0"/>
        <v>6.3556249999999999</v>
      </c>
      <c r="I23" s="108"/>
    </row>
    <row r="24" spans="1:9" ht="14.25" customHeight="1" thickBot="1" x14ac:dyDescent="0.25">
      <c r="A24" s="381"/>
      <c r="B24" s="382"/>
      <c r="C24" s="382"/>
      <c r="D24" s="382"/>
      <c r="E24" s="246"/>
      <c r="F24" s="121"/>
      <c r="G24" s="247"/>
      <c r="H24" s="62"/>
      <c r="I24" s="108"/>
    </row>
    <row r="25" spans="1:9" ht="14.25" customHeight="1" thickBot="1" x14ac:dyDescent="0.25">
      <c r="A25" s="383"/>
      <c r="B25" s="384"/>
      <c r="C25" s="384"/>
      <c r="D25" s="384"/>
      <c r="E25" s="246"/>
      <c r="F25" s="121"/>
      <c r="G25" s="247"/>
      <c r="H25" s="101"/>
    </row>
    <row r="26" spans="1:9" ht="14.25" customHeight="1" thickBot="1" x14ac:dyDescent="0.25">
      <c r="A26" s="378"/>
      <c r="B26" s="379"/>
      <c r="C26" s="379"/>
      <c r="D26" s="380"/>
      <c r="E26" s="246"/>
      <c r="F26" s="121"/>
      <c r="G26" s="247"/>
      <c r="H26" s="101"/>
    </row>
    <row r="27" spans="1:9" ht="12" customHeight="1" thickBot="1" x14ac:dyDescent="0.25">
      <c r="A27" s="318"/>
      <c r="B27" s="319"/>
      <c r="C27" s="319"/>
      <c r="D27" s="319"/>
      <c r="E27" s="320"/>
      <c r="F27" s="65" t="s">
        <v>11</v>
      </c>
      <c r="G27" s="11"/>
      <c r="H27" s="66">
        <f>SUM(H17:H26)</f>
        <v>810.13520767400007</v>
      </c>
      <c r="I27" s="108"/>
    </row>
    <row r="28" spans="1:9" ht="12" customHeight="1" thickTop="1" thickBot="1" x14ac:dyDescent="0.25">
      <c r="A28" s="300" t="s">
        <v>3</v>
      </c>
      <c r="B28" s="301"/>
      <c r="C28" s="3"/>
      <c r="D28" s="3"/>
      <c r="E28" s="3"/>
      <c r="F28" s="3"/>
      <c r="G28" s="3"/>
      <c r="H28" s="4"/>
    </row>
    <row r="29" spans="1:9" ht="12" customHeight="1" thickTop="1" thickBot="1" x14ac:dyDescent="0.25">
      <c r="A29" s="468" t="s">
        <v>12</v>
      </c>
      <c r="B29" s="469"/>
      <c r="C29" s="5" t="s">
        <v>0</v>
      </c>
      <c r="D29" s="6" t="s">
        <v>13</v>
      </c>
      <c r="E29" s="5" t="s">
        <v>14</v>
      </c>
      <c r="F29" s="6" t="s">
        <v>15</v>
      </c>
      <c r="G29" s="5" t="s">
        <v>16</v>
      </c>
      <c r="H29" s="6" t="s">
        <v>17</v>
      </c>
    </row>
    <row r="30" spans="1:9" ht="26.1" customHeight="1" thickTop="1" thickBot="1" x14ac:dyDescent="0.25">
      <c r="A30" s="472" t="str">
        <f>'CUADR 1'!C13</f>
        <v>CUADRILLA no.1 PINTURA (0.2 DE CABO DE OF. + 1 OF.  PINTORES + 1 AYUD. OFICIAL )</v>
      </c>
      <c r="B30" s="473"/>
      <c r="C30" s="248" t="s">
        <v>63</v>
      </c>
      <c r="D30" s="115">
        <f>'CUADR 1'!H48</f>
        <v>1525.2612521082979</v>
      </c>
      <c r="E30" s="249">
        <v>1</v>
      </c>
      <c r="F30" s="250">
        <f>+D30*E30</f>
        <v>1525.2612521082979</v>
      </c>
      <c r="G30" s="251">
        <v>40</v>
      </c>
      <c r="H30" s="89">
        <f>F30/G30</f>
        <v>38.131531302707444</v>
      </c>
    </row>
    <row r="31" spans="1:9" ht="26.1" customHeight="1" thickTop="1" thickBot="1" x14ac:dyDescent="0.25">
      <c r="A31" s="470" t="str">
        <f>'CUADR 4'!C13</f>
        <v>CUADRILLA no.4 LAMINEROS  (0.6 DE CABO DE OF  2 OF.  LAMINEROS  + 2 AYUD OFICIAL+ 2 AYUDANTES GENERALES.)</v>
      </c>
      <c r="B31" s="471"/>
      <c r="C31" s="248" t="s">
        <v>63</v>
      </c>
      <c r="D31" s="265">
        <f>'CUADR 4'!H49</f>
        <v>4504.8530290363306</v>
      </c>
      <c r="E31" s="266">
        <v>1</v>
      </c>
      <c r="F31" s="250">
        <f>+D31*E31</f>
        <v>4504.8530290363306</v>
      </c>
      <c r="G31" s="251">
        <v>22</v>
      </c>
      <c r="H31" s="89">
        <f>F31/G31</f>
        <v>204.76604677437865</v>
      </c>
    </row>
    <row r="32" spans="1:9" ht="26.1" customHeight="1" thickTop="1" thickBot="1" x14ac:dyDescent="0.25">
      <c r="A32" s="474" t="str">
        <f>'CUADR 3'!C13</f>
        <v>CUADRILLA no.3 AISLAMIENTOS  (0.3 DE CABO DE OF  1 OF.  AISLADOR  + 2 AYUD OFICIAL.)</v>
      </c>
      <c r="B32" s="475"/>
      <c r="C32" s="252" t="s">
        <v>63</v>
      </c>
      <c r="D32" s="116">
        <f>'CUADR 3'!H48</f>
        <v>2253.5629213639095</v>
      </c>
      <c r="E32" s="246">
        <v>1</v>
      </c>
      <c r="F32" s="250">
        <f>+D32*E32</f>
        <v>2253.5629213639095</v>
      </c>
      <c r="G32" s="253">
        <v>30</v>
      </c>
      <c r="H32" s="89">
        <f>F32/G32</f>
        <v>75.118764045463649</v>
      </c>
    </row>
    <row r="33" spans="1:9" ht="12" customHeight="1" thickBot="1" x14ac:dyDescent="0.25">
      <c r="A33" s="14"/>
      <c r="B33" s="15"/>
      <c r="C33" s="15"/>
      <c r="D33" s="15"/>
      <c r="E33" s="9"/>
      <c r="F33" s="12" t="s">
        <v>18</v>
      </c>
      <c r="G33" s="5"/>
      <c r="H33" s="16">
        <f>SUM(H30:H32)</f>
        <v>318.01634212254976</v>
      </c>
    </row>
    <row r="34" spans="1:9" ht="12" customHeight="1" thickTop="1" thickBot="1" x14ac:dyDescent="0.25">
      <c r="A34" s="309" t="s">
        <v>19</v>
      </c>
      <c r="B34" s="310"/>
      <c r="C34" s="310"/>
      <c r="D34" s="310"/>
      <c r="E34" s="85"/>
      <c r="F34" s="85"/>
      <c r="G34" s="85"/>
      <c r="H34" s="86"/>
    </row>
    <row r="35" spans="1:9" ht="12" customHeight="1" thickBot="1" x14ac:dyDescent="0.25">
      <c r="A35" s="311" t="s">
        <v>7</v>
      </c>
      <c r="B35" s="312"/>
      <c r="C35" s="312"/>
      <c r="D35" s="313"/>
      <c r="E35" s="122" t="s">
        <v>0</v>
      </c>
      <c r="F35" s="122" t="s">
        <v>20</v>
      </c>
      <c r="G35" s="122" t="s">
        <v>21</v>
      </c>
      <c r="H35" s="88" t="s">
        <v>22</v>
      </c>
    </row>
    <row r="36" spans="1:9" ht="15.95" customHeight="1" thickTop="1" thickBot="1" x14ac:dyDescent="0.25">
      <c r="A36" s="314" t="str">
        <f>EQUIPOS!C4</f>
        <v>ANDAMIOS CON CANASTILLA Y GUINDOLA</v>
      </c>
      <c r="B36" s="315"/>
      <c r="C36" s="315"/>
      <c r="D36" s="315"/>
      <c r="E36" s="218" t="str">
        <f>EQUIPOS!D4</f>
        <v>HORA</v>
      </c>
      <c r="F36" s="263">
        <f>EQUIPOS!G4</f>
        <v>54.556685000000002</v>
      </c>
      <c r="G36" s="219">
        <v>2</v>
      </c>
      <c r="H36" s="60">
        <f>F36/G36</f>
        <v>27.278342500000001</v>
      </c>
      <c r="I36" s="109"/>
    </row>
    <row r="37" spans="1:9" ht="23.1" customHeight="1" thickTop="1" thickBot="1" x14ac:dyDescent="0.25">
      <c r="A37" s="314" t="str">
        <f>EQUIPOS!C5</f>
        <v>CAMION DOBLE RODADA CHEVROLET SILVERADO CON PLATAFORMA DE REDILAS CARGA HASTA 2 1/2 TON.</v>
      </c>
      <c r="B37" s="315"/>
      <c r="C37" s="315"/>
      <c r="D37" s="315"/>
      <c r="E37" s="218" t="str">
        <f>EQUIPOS!D5</f>
        <v>HORA</v>
      </c>
      <c r="F37" s="263">
        <f>EQUIPOS!G5</f>
        <v>567.42003099999999</v>
      </c>
      <c r="G37" s="219">
        <v>36</v>
      </c>
      <c r="H37" s="60">
        <f t="shared" ref="H37:H39" si="1">F37/G37</f>
        <v>15.761667527777778</v>
      </c>
      <c r="I37" s="109"/>
    </row>
    <row r="38" spans="1:9" ht="12" customHeight="1" thickTop="1" thickBot="1" x14ac:dyDescent="0.25">
      <c r="A38" s="314" t="str">
        <f>EQUIPOS!C6</f>
        <v>BUFFER/PULIDOR DE DISCO DE 4 1/2</v>
      </c>
      <c r="B38" s="315"/>
      <c r="C38" s="315"/>
      <c r="D38" s="315"/>
      <c r="E38" s="218" t="str">
        <f>EQUIPOS!D6</f>
        <v>HORA</v>
      </c>
      <c r="F38" s="263">
        <f>EQUIPOS!G6</f>
        <v>15.192485999999999</v>
      </c>
      <c r="G38" s="219">
        <v>5</v>
      </c>
      <c r="H38" s="60">
        <f t="shared" si="1"/>
        <v>3.0384971999999997</v>
      </c>
      <c r="I38" s="109"/>
    </row>
    <row r="39" spans="1:9" ht="12" customHeight="1" thickTop="1" thickBot="1" x14ac:dyDescent="0.25">
      <c r="A39" s="314" t="str">
        <f>EQUIPOS!C7</f>
        <v>BISELADOR A DE LAMINA</v>
      </c>
      <c r="B39" s="315"/>
      <c r="C39" s="315"/>
      <c r="D39" s="315"/>
      <c r="E39" s="218" t="str">
        <f>EQUIPOS!D7</f>
        <v>HORA</v>
      </c>
      <c r="F39" s="263">
        <f>EQUIPOS!G7</f>
        <v>6.3657940000000002</v>
      </c>
      <c r="G39" s="219">
        <v>12</v>
      </c>
      <c r="H39" s="60">
        <f t="shared" si="1"/>
        <v>0.53048283333333335</v>
      </c>
      <c r="I39" s="109"/>
    </row>
    <row r="40" spans="1:9" ht="12" customHeight="1" thickBot="1" x14ac:dyDescent="0.25">
      <c r="A40" s="17"/>
      <c r="B40" s="18"/>
      <c r="C40" s="18"/>
      <c r="D40" s="18"/>
      <c r="E40" s="6"/>
      <c r="F40" s="117" t="s">
        <v>23</v>
      </c>
      <c r="G40" s="87"/>
      <c r="H40" s="217">
        <f>SUM(H36:H39)</f>
        <v>46.608990061111115</v>
      </c>
      <c r="I40" s="109"/>
    </row>
    <row r="41" spans="1:9" ht="12" customHeight="1" thickTop="1" thickBot="1" x14ac:dyDescent="0.25">
      <c r="A41" s="300" t="s">
        <v>24</v>
      </c>
      <c r="B41" s="301"/>
      <c r="C41" s="301"/>
      <c r="D41" s="301"/>
      <c r="E41" s="3"/>
      <c r="F41" s="3"/>
      <c r="G41" s="3"/>
      <c r="H41" s="4"/>
    </row>
    <row r="42" spans="1:9" ht="12" customHeight="1" thickTop="1" thickBot="1" x14ac:dyDescent="0.25">
      <c r="A42" s="316" t="s">
        <v>25</v>
      </c>
      <c r="B42" s="317"/>
      <c r="C42" s="19"/>
      <c r="D42" s="19"/>
      <c r="E42" s="20"/>
      <c r="F42" s="21" t="s">
        <v>26</v>
      </c>
      <c r="G42" s="6" t="s">
        <v>27</v>
      </c>
      <c r="H42" s="6" t="s">
        <v>28</v>
      </c>
    </row>
    <row r="43" spans="1:9" ht="12" customHeight="1" thickTop="1" thickBot="1" x14ac:dyDescent="0.25">
      <c r="A43" s="17"/>
      <c r="B43" s="18"/>
      <c r="C43" s="18"/>
      <c r="D43" s="18"/>
      <c r="E43" s="6"/>
      <c r="F43" s="244">
        <f>SOBRECOSTOS!E13</f>
        <v>3.6666666666666667E-2</v>
      </c>
      <c r="G43" s="78">
        <f>+H33</f>
        <v>318.01634212254976</v>
      </c>
      <c r="H43" s="69">
        <f>+F43*G43</f>
        <v>11.660599211160157</v>
      </c>
      <c r="I43" s="110"/>
    </row>
    <row r="44" spans="1:9" ht="12" customHeight="1" thickTop="1" thickBot="1" x14ac:dyDescent="0.25">
      <c r="A44" s="298" t="s">
        <v>29</v>
      </c>
      <c r="B44" s="299"/>
      <c r="C44" s="22"/>
      <c r="D44" s="22"/>
      <c r="E44" s="23"/>
      <c r="F44" s="79" t="s">
        <v>30</v>
      </c>
      <c r="G44" s="80" t="s">
        <v>27</v>
      </c>
      <c r="H44" s="81" t="s">
        <v>31</v>
      </c>
      <c r="I44" s="111"/>
    </row>
    <row r="45" spans="1:9" ht="12" customHeight="1" thickBot="1" x14ac:dyDescent="0.25">
      <c r="A45" s="13"/>
      <c r="B45" s="12"/>
      <c r="C45" s="12"/>
      <c r="D45" s="12"/>
      <c r="E45" s="5"/>
      <c r="F45" s="245">
        <f>SOBRECOSTOS!E14</f>
        <v>3.3333333333333333E-2</v>
      </c>
      <c r="G45" s="76">
        <f>+H33</f>
        <v>318.01634212254976</v>
      </c>
      <c r="H45" s="75">
        <f>+F45*G45</f>
        <v>10.600544737418325</v>
      </c>
      <c r="I45" s="110"/>
    </row>
    <row r="46" spans="1:9" ht="12" customHeight="1" thickTop="1" thickBot="1" x14ac:dyDescent="0.25">
      <c r="A46" s="10"/>
      <c r="B46" s="7"/>
      <c r="C46" s="7"/>
      <c r="D46" s="7"/>
      <c r="E46" s="8"/>
      <c r="F46" s="18" t="s">
        <v>32</v>
      </c>
      <c r="G46" s="6"/>
      <c r="H46" s="16">
        <f>+H43+H45</f>
        <v>22.261143948578482</v>
      </c>
      <c r="I46" s="110"/>
    </row>
    <row r="47" spans="1:9" ht="12" customHeight="1" thickTop="1" thickBot="1" x14ac:dyDescent="0.25">
      <c r="A47" s="291" t="s">
        <v>33</v>
      </c>
      <c r="B47" s="292"/>
      <c r="C47" s="292"/>
      <c r="D47" s="292"/>
      <c r="E47" s="292"/>
      <c r="F47" s="292"/>
      <c r="G47" s="6"/>
      <c r="H47" s="16">
        <f>+H27+H33+H40+H46</f>
        <v>1197.0216838062395</v>
      </c>
      <c r="I47" s="108"/>
    </row>
    <row r="48" spans="1:9" ht="12" customHeight="1" thickTop="1" thickBot="1" x14ac:dyDescent="0.25">
      <c r="A48" s="24"/>
      <c r="B48" s="25"/>
      <c r="C48" s="25"/>
      <c r="D48" s="25"/>
      <c r="E48" s="25"/>
      <c r="F48" s="25"/>
      <c r="G48" s="25"/>
      <c r="H48" s="25"/>
    </row>
    <row r="49" spans="1:9" ht="12" customHeight="1" thickTop="1" thickBot="1" x14ac:dyDescent="0.25">
      <c r="A49" s="293" t="s">
        <v>34</v>
      </c>
      <c r="B49" s="294"/>
      <c r="C49" s="294"/>
      <c r="D49" s="26"/>
      <c r="E49" s="26"/>
      <c r="F49" s="2"/>
      <c r="G49" s="2" t="s">
        <v>4</v>
      </c>
      <c r="H49" s="2" t="s">
        <v>2</v>
      </c>
    </row>
    <row r="50" spans="1:9" ht="12" customHeight="1" thickTop="1" thickBot="1" x14ac:dyDescent="0.25">
      <c r="A50" s="295" t="s">
        <v>35</v>
      </c>
      <c r="B50" s="296"/>
      <c r="C50" s="296"/>
      <c r="D50" s="296"/>
      <c r="E50" s="27"/>
      <c r="F50" s="28"/>
      <c r="G50" s="29">
        <f>SOBRECOSTOS!E9</f>
        <v>0.21278866666666665</v>
      </c>
      <c r="H50" s="30">
        <f>+G50*H47</f>
        <v>254.71264806821793</v>
      </c>
    </row>
    <row r="51" spans="1:9" ht="12" customHeight="1" thickTop="1" thickBot="1" x14ac:dyDescent="0.25">
      <c r="A51" s="295" t="s">
        <v>36</v>
      </c>
      <c r="B51" s="296"/>
      <c r="C51" s="296"/>
      <c r="D51" s="296"/>
      <c r="E51" s="296"/>
      <c r="F51" s="297"/>
      <c r="G51" s="29">
        <f>SOBRECOSTOS!E10</f>
        <v>1.0568333333333334E-2</v>
      </c>
      <c r="H51" s="30">
        <f>(H47+H50)*G51</f>
        <v>15.342412330693225</v>
      </c>
    </row>
    <row r="52" spans="1:9" ht="12" customHeight="1" thickTop="1" thickBot="1" x14ac:dyDescent="0.25">
      <c r="A52" s="295" t="s">
        <v>37</v>
      </c>
      <c r="B52" s="296"/>
      <c r="C52" s="296"/>
      <c r="D52" s="296"/>
      <c r="E52" s="296"/>
      <c r="F52" s="297"/>
      <c r="G52" s="29">
        <f>SOBRECOSTOS!E11</f>
        <v>9.3333333333333338E-2</v>
      </c>
      <c r="H52" s="30">
        <f>(H47+H50+H51)*G52</f>
        <v>136.92716279248071</v>
      </c>
    </row>
    <row r="53" spans="1:9" ht="12" customHeight="1" thickTop="1" thickBot="1" x14ac:dyDescent="0.25">
      <c r="A53" s="295" t="s">
        <v>38</v>
      </c>
      <c r="B53" s="296"/>
      <c r="C53" s="296"/>
      <c r="D53" s="296"/>
      <c r="E53" s="296"/>
      <c r="F53" s="297"/>
      <c r="G53" s="29">
        <f>SOBRECOSTOS!E12</f>
        <v>8.0053333333333331E-3</v>
      </c>
      <c r="H53" s="30">
        <f>(H47+H50+H51+H52)*G53</f>
        <v>12.840585943485037</v>
      </c>
    </row>
    <row r="54" spans="1:9" ht="12" customHeight="1" thickTop="1" thickBot="1" x14ac:dyDescent="0.25">
      <c r="A54" s="286" t="s">
        <v>5</v>
      </c>
      <c r="B54" s="287"/>
      <c r="C54" s="31"/>
      <c r="D54" s="31"/>
      <c r="E54" s="31"/>
      <c r="F54" s="31"/>
      <c r="G54" s="31"/>
      <c r="H54" s="32"/>
    </row>
    <row r="55" spans="1:9" ht="18" customHeight="1" thickTop="1" thickBot="1" x14ac:dyDescent="0.25">
      <c r="A55" s="288" t="s">
        <v>39</v>
      </c>
      <c r="B55" s="289"/>
      <c r="C55" s="289"/>
      <c r="D55" s="289"/>
      <c r="E55" s="289"/>
      <c r="F55" s="289"/>
      <c r="G55" s="290"/>
      <c r="H55" s="58">
        <f>SUM(H50:H53)+H47</f>
        <v>1616.8444929411164</v>
      </c>
      <c r="I55" s="45"/>
    </row>
    <row r="56" spans="1:9" ht="13.5" thickTop="1" x14ac:dyDescent="0.2"/>
  </sheetData>
  <mergeCells count="47">
    <mergeCell ref="A1:B5"/>
    <mergeCell ref="C1:E1"/>
    <mergeCell ref="D2:G2"/>
    <mergeCell ref="C3:E3"/>
    <mergeCell ref="C4:C5"/>
    <mergeCell ref="D4:G5"/>
    <mergeCell ref="A20:D20"/>
    <mergeCell ref="A6:C9"/>
    <mergeCell ref="D6:F9"/>
    <mergeCell ref="G6:H9"/>
    <mergeCell ref="A10:G11"/>
    <mergeCell ref="B13:B14"/>
    <mergeCell ref="C13:F14"/>
    <mergeCell ref="A15:B15"/>
    <mergeCell ref="A16:D16"/>
    <mergeCell ref="A17:D17"/>
    <mergeCell ref="A18:D18"/>
    <mergeCell ref="A19:D19"/>
    <mergeCell ref="A32:B32"/>
    <mergeCell ref="A21:D21"/>
    <mergeCell ref="A22:D22"/>
    <mergeCell ref="A23:D23"/>
    <mergeCell ref="A24:D24"/>
    <mergeCell ref="A25:D25"/>
    <mergeCell ref="A26:D26"/>
    <mergeCell ref="A27:E27"/>
    <mergeCell ref="A28:B28"/>
    <mergeCell ref="A29:B29"/>
    <mergeCell ref="A30:B30"/>
    <mergeCell ref="A31:B31"/>
    <mergeCell ref="A50:D50"/>
    <mergeCell ref="A34:D34"/>
    <mergeCell ref="A35:D35"/>
    <mergeCell ref="A36:D36"/>
    <mergeCell ref="A37:D37"/>
    <mergeCell ref="A38:D38"/>
    <mergeCell ref="A39:D39"/>
    <mergeCell ref="A41:D41"/>
    <mergeCell ref="A42:B42"/>
    <mergeCell ref="A44:B44"/>
    <mergeCell ref="A47:F47"/>
    <mergeCell ref="A49:C49"/>
    <mergeCell ref="A51:F51"/>
    <mergeCell ref="A52:F52"/>
    <mergeCell ref="A53:F53"/>
    <mergeCell ref="A54:B54"/>
    <mergeCell ref="A55:G55"/>
  </mergeCells>
  <printOptions horizontalCentered="1" verticalCentered="1"/>
  <pageMargins left="0.43307086614173229" right="0.35433070866141736" top="0.41" bottom="0.42" header="0.33" footer="0.36"/>
  <pageSetup scale="9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AFFC-DA49-4346-9668-BD9459BC6B1D}">
  <sheetPr>
    <tabColor rgb="FF00B050"/>
    <pageSetUpPr fitToPage="1"/>
  </sheetPr>
  <dimension ref="A1:I56"/>
  <sheetViews>
    <sheetView topLeftCell="A13" zoomScale="90" zoomScaleNormal="90" workbookViewId="0">
      <selection activeCell="G38" sqref="G38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  <col min="9" max="9" width="11.42578125" style="44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201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202</v>
      </c>
    </row>
    <row r="12" spans="1:8" ht="4.5" customHeight="1" thickTop="1" thickBot="1" x14ac:dyDescent="0.25"/>
    <row r="13" spans="1:8" ht="18.75" customHeight="1" thickTop="1" thickBot="1" x14ac:dyDescent="0.25">
      <c r="A13" s="119" t="s">
        <v>256</v>
      </c>
      <c r="B13" s="338" t="s">
        <v>6</v>
      </c>
      <c r="C13" s="340" t="s">
        <v>238</v>
      </c>
      <c r="D13" s="340"/>
      <c r="E13" s="340"/>
      <c r="F13" s="341"/>
      <c r="G13" s="54" t="s">
        <v>0</v>
      </c>
      <c r="H13" s="54" t="s">
        <v>245</v>
      </c>
    </row>
    <row r="14" spans="1:8" ht="15.75" customHeight="1" thickBot="1" x14ac:dyDescent="0.25">
      <c r="A14" s="118" t="s">
        <v>234</v>
      </c>
      <c r="B14" s="339"/>
      <c r="C14" s="342"/>
      <c r="D14" s="342"/>
      <c r="E14" s="342"/>
      <c r="F14" s="343"/>
      <c r="G14" s="55" t="s">
        <v>1</v>
      </c>
      <c r="H14" s="57"/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9" ht="14.25" customHeight="1" thickTop="1" thickBot="1" x14ac:dyDescent="0.25">
      <c r="A17" s="376" t="str">
        <f>Materiales!B4</f>
        <v>ALMBRE GALVANIZADO CAL. 18</v>
      </c>
      <c r="B17" s="377"/>
      <c r="C17" s="377"/>
      <c r="D17" s="377"/>
      <c r="E17" s="246" t="str">
        <f>Materiales!C4</f>
        <v>KG</v>
      </c>
      <c r="F17" s="121">
        <f>Materiales!F4</f>
        <v>97.195301999999998</v>
      </c>
      <c r="G17" s="247">
        <v>4.3999999999999997E-2</v>
      </c>
      <c r="H17" s="62">
        <f t="shared" ref="H17:H23" si="0">+F17*G17</f>
        <v>4.2765932879999999</v>
      </c>
      <c r="I17" s="108"/>
    </row>
    <row r="18" spans="1:9" ht="14.25" customHeight="1" thickTop="1" thickBot="1" x14ac:dyDescent="0.25">
      <c r="A18" s="376" t="str">
        <f>Materiales!B5</f>
        <v>PRIMARIO ANTICORROSIVO CFE-P34</v>
      </c>
      <c r="B18" s="377"/>
      <c r="C18" s="377"/>
      <c r="D18" s="377"/>
      <c r="E18" s="246" t="str">
        <f>Materiales!C5</f>
        <v>L</v>
      </c>
      <c r="F18" s="121">
        <f>Materiales!F5</f>
        <v>392.411541</v>
      </c>
      <c r="G18" s="247">
        <v>0.2</v>
      </c>
      <c r="H18" s="62">
        <f t="shared" si="0"/>
        <v>78.482308200000006</v>
      </c>
      <c r="I18" s="108"/>
    </row>
    <row r="19" spans="1:9" ht="14.25" customHeight="1" thickTop="1" thickBot="1" x14ac:dyDescent="0.25">
      <c r="A19" s="376" t="str">
        <f>Materiales!B6</f>
        <v>SOLVENTE CATALIZADOR CFE-P34</v>
      </c>
      <c r="B19" s="377"/>
      <c r="C19" s="377"/>
      <c r="D19" s="377"/>
      <c r="E19" s="246" t="str">
        <f>Materiales!C6</f>
        <v>L</v>
      </c>
      <c r="F19" s="121">
        <f>Materiales!F6</f>
        <v>122.02800000000001</v>
      </c>
      <c r="G19" s="247">
        <v>0.09</v>
      </c>
      <c r="H19" s="62">
        <f t="shared" si="0"/>
        <v>10.982520000000001</v>
      </c>
      <c r="I19" s="108"/>
    </row>
    <row r="20" spans="1:9" ht="14.25" customHeight="1" thickTop="1" thickBot="1" x14ac:dyDescent="0.25">
      <c r="A20" s="376" t="str">
        <f>Materiales!B7</f>
        <v>PIJAS DE ACERO INOX. DE 3/16 X 3/4 DE LARGO</v>
      </c>
      <c r="B20" s="377"/>
      <c r="C20" s="377"/>
      <c r="D20" s="377"/>
      <c r="E20" s="246" t="str">
        <f>Materiales!C7</f>
        <v>PZA</v>
      </c>
      <c r="F20" s="121">
        <f>Materiales!F7</f>
        <v>3.3049249999999999</v>
      </c>
      <c r="G20" s="247">
        <v>10</v>
      </c>
      <c r="H20" s="62">
        <f t="shared" si="0"/>
        <v>33.049250000000001</v>
      </c>
      <c r="I20" s="108"/>
    </row>
    <row r="21" spans="1:9" ht="14.25" customHeight="1" thickTop="1" thickBot="1" x14ac:dyDescent="0.25">
      <c r="A21" s="376" t="str">
        <f>Materiales!B8</f>
        <v>LAMINA LISA CAL. 24</v>
      </c>
      <c r="B21" s="377"/>
      <c r="C21" s="377"/>
      <c r="D21" s="377"/>
      <c r="E21" s="246" t="str">
        <f>Materiales!C8</f>
        <v>M2</v>
      </c>
      <c r="F21" s="121">
        <f>Materiales!F8</f>
        <v>178.211725</v>
      </c>
      <c r="G21" s="247">
        <v>0.8</v>
      </c>
      <c r="H21" s="62">
        <f t="shared" si="0"/>
        <v>142.56938</v>
      </c>
      <c r="I21" s="108"/>
    </row>
    <row r="22" spans="1:9" ht="23.1" customHeight="1" thickTop="1" thickBot="1" x14ac:dyDescent="0.25">
      <c r="A22" s="376" t="str">
        <f>Materiales!B12</f>
        <v>COLCHA ARMADA DE LANA MINERAL DE 2´X8´X4" DE ESPESOR CON UNA DENSIDAD DE 12 LBR/PIES</v>
      </c>
      <c r="B22" s="377"/>
      <c r="C22" s="377"/>
      <c r="D22" s="377"/>
      <c r="E22" s="246" t="str">
        <f>Materiales!C12</f>
        <v>M2</v>
      </c>
      <c r="F22" s="121">
        <f>Materiales!F12</f>
        <v>957.15712499999995</v>
      </c>
      <c r="G22" s="247">
        <v>0.85</v>
      </c>
      <c r="H22" s="62">
        <f t="shared" si="0"/>
        <v>813.5835562499999</v>
      </c>
      <c r="I22" s="108"/>
    </row>
    <row r="23" spans="1:9" ht="14.25" customHeight="1" thickTop="1" thickBot="1" x14ac:dyDescent="0.25">
      <c r="A23" s="376" t="str">
        <f>Materiales!B10</f>
        <v>BROCHA DE 2"</v>
      </c>
      <c r="B23" s="377"/>
      <c r="C23" s="377"/>
      <c r="D23" s="377"/>
      <c r="E23" s="246" t="str">
        <f>Materiales!C10</f>
        <v>PZA</v>
      </c>
      <c r="F23" s="121">
        <f>Materiales!F10</f>
        <v>63.556249999999999</v>
      </c>
      <c r="G23" s="247">
        <v>0.1</v>
      </c>
      <c r="H23" s="62">
        <f t="shared" si="0"/>
        <v>6.3556249999999999</v>
      </c>
      <c r="I23" s="108"/>
    </row>
    <row r="24" spans="1:9" ht="14.25" customHeight="1" thickBot="1" x14ac:dyDescent="0.25">
      <c r="A24" s="381"/>
      <c r="B24" s="382"/>
      <c r="C24" s="382"/>
      <c r="D24" s="382"/>
      <c r="E24" s="246"/>
      <c r="F24" s="121"/>
      <c r="G24" s="247"/>
      <c r="H24" s="62"/>
      <c r="I24" s="108"/>
    </row>
    <row r="25" spans="1:9" ht="14.25" customHeight="1" thickBot="1" x14ac:dyDescent="0.25">
      <c r="A25" s="383"/>
      <c r="B25" s="384"/>
      <c r="C25" s="384"/>
      <c r="D25" s="384"/>
      <c r="E25" s="246"/>
      <c r="F25" s="121"/>
      <c r="G25" s="247"/>
      <c r="H25" s="101"/>
    </row>
    <row r="26" spans="1:9" ht="14.25" customHeight="1" thickBot="1" x14ac:dyDescent="0.25">
      <c r="A26" s="378"/>
      <c r="B26" s="379"/>
      <c r="C26" s="379"/>
      <c r="D26" s="380"/>
      <c r="E26" s="246"/>
      <c r="F26" s="121"/>
      <c r="G26" s="247"/>
      <c r="H26" s="101"/>
    </row>
    <row r="27" spans="1:9" ht="12" customHeight="1" thickBot="1" x14ac:dyDescent="0.25">
      <c r="A27" s="318"/>
      <c r="B27" s="319"/>
      <c r="C27" s="319"/>
      <c r="D27" s="319"/>
      <c r="E27" s="320"/>
      <c r="F27" s="65" t="s">
        <v>11</v>
      </c>
      <c r="G27" s="11"/>
      <c r="H27" s="66">
        <f>SUM(H17:H26)</f>
        <v>1089.2992327379998</v>
      </c>
      <c r="I27" s="108"/>
    </row>
    <row r="28" spans="1:9" ht="12" customHeight="1" thickTop="1" thickBot="1" x14ac:dyDescent="0.25">
      <c r="A28" s="300" t="s">
        <v>3</v>
      </c>
      <c r="B28" s="301"/>
      <c r="C28" s="3"/>
      <c r="D28" s="3"/>
      <c r="E28" s="3"/>
      <c r="F28" s="3"/>
      <c r="G28" s="3"/>
      <c r="H28" s="4"/>
    </row>
    <row r="29" spans="1:9" ht="12" customHeight="1" thickTop="1" thickBot="1" x14ac:dyDescent="0.25">
      <c r="A29" s="468" t="s">
        <v>12</v>
      </c>
      <c r="B29" s="469"/>
      <c r="C29" s="5" t="s">
        <v>0</v>
      </c>
      <c r="D29" s="6" t="s">
        <v>13</v>
      </c>
      <c r="E29" s="5" t="s">
        <v>14</v>
      </c>
      <c r="F29" s="6" t="s">
        <v>15</v>
      </c>
      <c r="G29" s="5" t="s">
        <v>16</v>
      </c>
      <c r="H29" s="6" t="s">
        <v>17</v>
      </c>
    </row>
    <row r="30" spans="1:9" ht="26.1" customHeight="1" thickTop="1" thickBot="1" x14ac:dyDescent="0.25">
      <c r="A30" s="472" t="str">
        <f>'CUADR 1'!C13</f>
        <v>CUADRILLA no.1 PINTURA (0.2 DE CABO DE OF. + 1 OF.  PINTORES + 1 AYUD. OFICIAL )</v>
      </c>
      <c r="B30" s="473"/>
      <c r="C30" s="248" t="s">
        <v>63</v>
      </c>
      <c r="D30" s="115">
        <f>'CUADR 1'!H48</f>
        <v>1525.2612521082979</v>
      </c>
      <c r="E30" s="249">
        <v>1</v>
      </c>
      <c r="F30" s="250">
        <f>+D30*E30</f>
        <v>1525.2612521082979</v>
      </c>
      <c r="G30" s="251">
        <v>36</v>
      </c>
      <c r="H30" s="89">
        <f>F30/G30</f>
        <v>42.368368114119384</v>
      </c>
    </row>
    <row r="31" spans="1:9" ht="26.1" customHeight="1" thickTop="1" thickBot="1" x14ac:dyDescent="0.25">
      <c r="A31" s="470" t="str">
        <f>'CUADR 4'!C13</f>
        <v>CUADRILLA no.4 LAMINEROS  (0.6 DE CABO DE OF  2 OF.  LAMINEROS  + 2 AYUD OFICIAL+ 2 AYUDANTES GENERALES.)</v>
      </c>
      <c r="B31" s="471"/>
      <c r="C31" s="248" t="s">
        <v>63</v>
      </c>
      <c r="D31" s="265">
        <f>'CUADR 4'!H49</f>
        <v>4504.8530290363306</v>
      </c>
      <c r="E31" s="266">
        <v>1</v>
      </c>
      <c r="F31" s="250">
        <f>+D31*E31</f>
        <v>4504.8530290363306</v>
      </c>
      <c r="G31" s="251">
        <v>18</v>
      </c>
      <c r="H31" s="89">
        <f>F31/G31</f>
        <v>250.26961272424057</v>
      </c>
    </row>
    <row r="32" spans="1:9" ht="26.1" customHeight="1" thickTop="1" thickBot="1" x14ac:dyDescent="0.25">
      <c r="A32" s="474" t="str">
        <f>'CUADR 3'!C13</f>
        <v>CUADRILLA no.3 AISLAMIENTOS  (0.3 DE CABO DE OF  1 OF.  AISLADOR  + 2 AYUD OFICIAL.)</v>
      </c>
      <c r="B32" s="475"/>
      <c r="C32" s="252" t="s">
        <v>63</v>
      </c>
      <c r="D32" s="116">
        <f>'CUADR 3'!H48</f>
        <v>2253.5629213639095</v>
      </c>
      <c r="E32" s="246">
        <v>1</v>
      </c>
      <c r="F32" s="250">
        <f>+D32*E32</f>
        <v>2253.5629213639095</v>
      </c>
      <c r="G32" s="253">
        <v>26</v>
      </c>
      <c r="H32" s="89">
        <f>F32/G32</f>
        <v>86.675496975534983</v>
      </c>
    </row>
    <row r="33" spans="1:9" ht="12" customHeight="1" thickBot="1" x14ac:dyDescent="0.25">
      <c r="A33" s="14"/>
      <c r="B33" s="15"/>
      <c r="C33" s="15"/>
      <c r="D33" s="15"/>
      <c r="E33" s="9"/>
      <c r="F33" s="12" t="s">
        <v>18</v>
      </c>
      <c r="G33" s="5"/>
      <c r="H33" s="16">
        <f>SUM(H30:H32)</f>
        <v>379.31347781389496</v>
      </c>
    </row>
    <row r="34" spans="1:9" ht="12" customHeight="1" thickTop="1" thickBot="1" x14ac:dyDescent="0.25">
      <c r="A34" s="309" t="s">
        <v>19</v>
      </c>
      <c r="B34" s="310"/>
      <c r="C34" s="310"/>
      <c r="D34" s="310"/>
      <c r="E34" s="85"/>
      <c r="F34" s="85"/>
      <c r="G34" s="85"/>
      <c r="H34" s="86"/>
    </row>
    <row r="35" spans="1:9" ht="12" customHeight="1" thickBot="1" x14ac:dyDescent="0.25">
      <c r="A35" s="311" t="s">
        <v>7</v>
      </c>
      <c r="B35" s="312"/>
      <c r="C35" s="312"/>
      <c r="D35" s="313"/>
      <c r="E35" s="122" t="s">
        <v>0</v>
      </c>
      <c r="F35" s="122" t="s">
        <v>20</v>
      </c>
      <c r="G35" s="122" t="s">
        <v>21</v>
      </c>
      <c r="H35" s="88" t="s">
        <v>22</v>
      </c>
    </row>
    <row r="36" spans="1:9" ht="15.95" customHeight="1" thickTop="1" thickBot="1" x14ac:dyDescent="0.25">
      <c r="A36" s="314" t="str">
        <f>EQUIPOS!C4</f>
        <v>ANDAMIOS CON CANASTILLA Y GUINDOLA</v>
      </c>
      <c r="B36" s="315"/>
      <c r="C36" s="315"/>
      <c r="D36" s="315"/>
      <c r="E36" s="218" t="str">
        <f>EQUIPOS!D4</f>
        <v>HORA</v>
      </c>
      <c r="F36" s="263">
        <f>EQUIPOS!G4</f>
        <v>54.556685000000002</v>
      </c>
      <c r="G36" s="219">
        <v>2</v>
      </c>
      <c r="H36" s="60">
        <f>F36/G36</f>
        <v>27.278342500000001</v>
      </c>
      <c r="I36" s="109"/>
    </row>
    <row r="37" spans="1:9" ht="23.1" customHeight="1" thickTop="1" thickBot="1" x14ac:dyDescent="0.25">
      <c r="A37" s="314" t="str">
        <f>EQUIPOS!C5</f>
        <v>CAMION DOBLE RODADA CHEVROLET SILVERADO CON PLATAFORMA DE REDILAS CARGA HASTA 2 1/2 TON.</v>
      </c>
      <c r="B37" s="315"/>
      <c r="C37" s="315"/>
      <c r="D37" s="315"/>
      <c r="E37" s="218" t="str">
        <f>EQUIPOS!D5</f>
        <v>HORA</v>
      </c>
      <c r="F37" s="263">
        <f>EQUIPOS!G5</f>
        <v>567.42003099999999</v>
      </c>
      <c r="G37" s="219">
        <v>36</v>
      </c>
      <c r="H37" s="60">
        <f t="shared" ref="H37:H39" si="1">F37/G37</f>
        <v>15.761667527777778</v>
      </c>
      <c r="I37" s="109"/>
    </row>
    <row r="38" spans="1:9" ht="12" customHeight="1" thickTop="1" thickBot="1" x14ac:dyDescent="0.25">
      <c r="A38" s="314" t="str">
        <f>EQUIPOS!C6</f>
        <v>BUFFER/PULIDOR DE DISCO DE 4 1/2</v>
      </c>
      <c r="B38" s="315"/>
      <c r="C38" s="315"/>
      <c r="D38" s="315"/>
      <c r="E38" s="218" t="str">
        <f>EQUIPOS!D6</f>
        <v>HORA</v>
      </c>
      <c r="F38" s="263">
        <f>EQUIPOS!G6</f>
        <v>15.192485999999999</v>
      </c>
      <c r="G38" s="219">
        <v>5</v>
      </c>
      <c r="H38" s="60">
        <f t="shared" si="1"/>
        <v>3.0384971999999997</v>
      </c>
      <c r="I38" s="109"/>
    </row>
    <row r="39" spans="1:9" ht="12" customHeight="1" thickTop="1" thickBot="1" x14ac:dyDescent="0.25">
      <c r="A39" s="314" t="str">
        <f>EQUIPOS!C7</f>
        <v>BISELADOR A DE LAMINA</v>
      </c>
      <c r="B39" s="315"/>
      <c r="C39" s="315"/>
      <c r="D39" s="315"/>
      <c r="E39" s="218" t="str">
        <f>EQUIPOS!D7</f>
        <v>HORA</v>
      </c>
      <c r="F39" s="263">
        <f>EQUIPOS!G7</f>
        <v>6.3657940000000002</v>
      </c>
      <c r="G39" s="219">
        <v>12</v>
      </c>
      <c r="H39" s="60">
        <f t="shared" si="1"/>
        <v>0.53048283333333335</v>
      </c>
      <c r="I39" s="109"/>
    </row>
    <row r="40" spans="1:9" ht="12" customHeight="1" thickBot="1" x14ac:dyDescent="0.25">
      <c r="A40" s="17"/>
      <c r="B40" s="18"/>
      <c r="C40" s="18"/>
      <c r="D40" s="18"/>
      <c r="E40" s="6"/>
      <c r="F40" s="117" t="s">
        <v>23</v>
      </c>
      <c r="G40" s="87"/>
      <c r="H40" s="217">
        <f>SUM(H36:H39)</f>
        <v>46.608990061111115</v>
      </c>
      <c r="I40" s="109"/>
    </row>
    <row r="41" spans="1:9" ht="12" customHeight="1" thickTop="1" thickBot="1" x14ac:dyDescent="0.25">
      <c r="A41" s="300" t="s">
        <v>24</v>
      </c>
      <c r="B41" s="301"/>
      <c r="C41" s="301"/>
      <c r="D41" s="301"/>
      <c r="E41" s="3"/>
      <c r="F41" s="3"/>
      <c r="G41" s="3"/>
      <c r="H41" s="4"/>
    </row>
    <row r="42" spans="1:9" ht="12" customHeight="1" thickTop="1" thickBot="1" x14ac:dyDescent="0.25">
      <c r="A42" s="316" t="s">
        <v>25</v>
      </c>
      <c r="B42" s="317"/>
      <c r="C42" s="19"/>
      <c r="D42" s="19"/>
      <c r="E42" s="20"/>
      <c r="F42" s="21" t="s">
        <v>26</v>
      </c>
      <c r="G42" s="6" t="s">
        <v>27</v>
      </c>
      <c r="H42" s="6" t="s">
        <v>28</v>
      </c>
    </row>
    <row r="43" spans="1:9" ht="12" customHeight="1" thickTop="1" thickBot="1" x14ac:dyDescent="0.25">
      <c r="A43" s="17"/>
      <c r="B43" s="18"/>
      <c r="C43" s="18"/>
      <c r="D43" s="18"/>
      <c r="E43" s="6"/>
      <c r="F43" s="244">
        <f>SOBRECOSTOS!E13</f>
        <v>3.6666666666666667E-2</v>
      </c>
      <c r="G43" s="78">
        <f>+H33</f>
        <v>379.31347781389496</v>
      </c>
      <c r="H43" s="69">
        <f>+F43*G43</f>
        <v>13.908160853176149</v>
      </c>
      <c r="I43" s="110"/>
    </row>
    <row r="44" spans="1:9" ht="12" customHeight="1" thickTop="1" thickBot="1" x14ac:dyDescent="0.25">
      <c r="A44" s="298" t="s">
        <v>29</v>
      </c>
      <c r="B44" s="299"/>
      <c r="C44" s="22"/>
      <c r="D44" s="22"/>
      <c r="E44" s="23"/>
      <c r="F44" s="79" t="s">
        <v>30</v>
      </c>
      <c r="G44" s="80" t="s">
        <v>27</v>
      </c>
      <c r="H44" s="81" t="s">
        <v>31</v>
      </c>
      <c r="I44" s="111"/>
    </row>
    <row r="45" spans="1:9" ht="12" customHeight="1" thickBot="1" x14ac:dyDescent="0.25">
      <c r="A45" s="13"/>
      <c r="B45" s="12"/>
      <c r="C45" s="12"/>
      <c r="D45" s="12"/>
      <c r="E45" s="5"/>
      <c r="F45" s="245">
        <f>SOBRECOSTOS!E14</f>
        <v>3.3333333333333333E-2</v>
      </c>
      <c r="G45" s="76">
        <f>+H33</f>
        <v>379.31347781389496</v>
      </c>
      <c r="H45" s="75">
        <f>+F45*G45</f>
        <v>12.643782593796498</v>
      </c>
      <c r="I45" s="110"/>
    </row>
    <row r="46" spans="1:9" ht="12" customHeight="1" thickTop="1" thickBot="1" x14ac:dyDescent="0.25">
      <c r="A46" s="10"/>
      <c r="B46" s="7"/>
      <c r="C46" s="7"/>
      <c r="D46" s="7"/>
      <c r="E46" s="8"/>
      <c r="F46" s="18" t="s">
        <v>32</v>
      </c>
      <c r="G46" s="6"/>
      <c r="H46" s="16">
        <f>+H43+H45</f>
        <v>26.551943446972647</v>
      </c>
      <c r="I46" s="110"/>
    </row>
    <row r="47" spans="1:9" ht="12" customHeight="1" thickTop="1" thickBot="1" x14ac:dyDescent="0.25">
      <c r="A47" s="291" t="s">
        <v>33</v>
      </c>
      <c r="B47" s="292"/>
      <c r="C47" s="292"/>
      <c r="D47" s="292"/>
      <c r="E47" s="292"/>
      <c r="F47" s="292"/>
      <c r="G47" s="6"/>
      <c r="H47" s="16">
        <f>+H27+H33+H40+H46</f>
        <v>1541.7736440599786</v>
      </c>
      <c r="I47" s="108"/>
    </row>
    <row r="48" spans="1:9" ht="12" customHeight="1" thickTop="1" thickBot="1" x14ac:dyDescent="0.25">
      <c r="A48" s="24"/>
      <c r="B48" s="25"/>
      <c r="C48" s="25"/>
      <c r="D48" s="25"/>
      <c r="E48" s="25"/>
      <c r="F48" s="25"/>
      <c r="G48" s="25"/>
      <c r="H48" s="25"/>
    </row>
    <row r="49" spans="1:9" ht="12" customHeight="1" thickTop="1" thickBot="1" x14ac:dyDescent="0.25">
      <c r="A49" s="293" t="s">
        <v>34</v>
      </c>
      <c r="B49" s="294"/>
      <c r="C49" s="294"/>
      <c r="D49" s="26"/>
      <c r="E49" s="26"/>
      <c r="F49" s="2"/>
      <c r="G49" s="2" t="s">
        <v>4</v>
      </c>
      <c r="H49" s="2" t="s">
        <v>2</v>
      </c>
    </row>
    <row r="50" spans="1:9" ht="12" customHeight="1" thickTop="1" thickBot="1" x14ac:dyDescent="0.25">
      <c r="A50" s="295" t="s">
        <v>35</v>
      </c>
      <c r="B50" s="296"/>
      <c r="C50" s="296"/>
      <c r="D50" s="296"/>
      <c r="E50" s="27"/>
      <c r="F50" s="28"/>
      <c r="G50" s="29">
        <f>SOBRECOSTOS!E9</f>
        <v>0.21278866666666665</v>
      </c>
      <c r="H50" s="30">
        <f>+G50*H47</f>
        <v>328.07195802133072</v>
      </c>
    </row>
    <row r="51" spans="1:9" ht="12" customHeight="1" thickTop="1" thickBot="1" x14ac:dyDescent="0.25">
      <c r="A51" s="295" t="s">
        <v>36</v>
      </c>
      <c r="B51" s="296"/>
      <c r="C51" s="296"/>
      <c r="D51" s="296"/>
      <c r="E51" s="296"/>
      <c r="F51" s="297"/>
      <c r="G51" s="29">
        <f>SOBRECOSTOS!E10</f>
        <v>1.0568333333333334E-2</v>
      </c>
      <c r="H51" s="30">
        <f>(H47+H50)*G51</f>
        <v>19.761151604662636</v>
      </c>
    </row>
    <row r="52" spans="1:9" ht="12" customHeight="1" thickTop="1" thickBot="1" x14ac:dyDescent="0.25">
      <c r="A52" s="295" t="s">
        <v>37</v>
      </c>
      <c r="B52" s="296"/>
      <c r="C52" s="296"/>
      <c r="D52" s="296"/>
      <c r="E52" s="296"/>
      <c r="F52" s="297"/>
      <c r="G52" s="29">
        <f>SOBRECOSTOS!E11</f>
        <v>9.3333333333333338E-2</v>
      </c>
      <c r="H52" s="30">
        <f>(H47+H50+H51)*G52</f>
        <v>176.3632970106907</v>
      </c>
    </row>
    <row r="53" spans="1:9" ht="12" customHeight="1" thickTop="1" thickBot="1" x14ac:dyDescent="0.25">
      <c r="A53" s="295" t="s">
        <v>38</v>
      </c>
      <c r="B53" s="296"/>
      <c r="C53" s="296"/>
      <c r="D53" s="296"/>
      <c r="E53" s="296"/>
      <c r="F53" s="297"/>
      <c r="G53" s="29">
        <f>SOBRECOSTOS!E12</f>
        <v>8.0053333333333331E-3</v>
      </c>
      <c r="H53" s="30">
        <f>(H47+H50+H51+H52)*G53</f>
        <v>16.538778912510349</v>
      </c>
    </row>
    <row r="54" spans="1:9" ht="12" customHeight="1" thickTop="1" thickBot="1" x14ac:dyDescent="0.25">
      <c r="A54" s="286" t="s">
        <v>5</v>
      </c>
      <c r="B54" s="287"/>
      <c r="C54" s="31"/>
      <c r="D54" s="31"/>
      <c r="E54" s="31"/>
      <c r="F54" s="31"/>
      <c r="G54" s="31"/>
      <c r="H54" s="32"/>
    </row>
    <row r="55" spans="1:9" ht="18" customHeight="1" thickTop="1" thickBot="1" x14ac:dyDescent="0.25">
      <c r="A55" s="288" t="s">
        <v>39</v>
      </c>
      <c r="B55" s="289"/>
      <c r="C55" s="289"/>
      <c r="D55" s="289"/>
      <c r="E55" s="289"/>
      <c r="F55" s="289"/>
      <c r="G55" s="290"/>
      <c r="H55" s="58">
        <f>SUM(H50:H53)+H47</f>
        <v>2082.5088296091731</v>
      </c>
      <c r="I55" s="45"/>
    </row>
    <row r="56" spans="1:9" ht="13.5" thickTop="1" x14ac:dyDescent="0.2"/>
  </sheetData>
  <mergeCells count="47">
    <mergeCell ref="A1:B5"/>
    <mergeCell ref="C1:E1"/>
    <mergeCell ref="D2:G2"/>
    <mergeCell ref="C3:E3"/>
    <mergeCell ref="C4:C5"/>
    <mergeCell ref="D4:G5"/>
    <mergeCell ref="A20:D20"/>
    <mergeCell ref="A6:C9"/>
    <mergeCell ref="D6:F9"/>
    <mergeCell ref="G6:H9"/>
    <mergeCell ref="A10:G11"/>
    <mergeCell ref="B13:B14"/>
    <mergeCell ref="C13:F14"/>
    <mergeCell ref="A15:B15"/>
    <mergeCell ref="A16:D16"/>
    <mergeCell ref="A17:D17"/>
    <mergeCell ref="A18:D18"/>
    <mergeCell ref="A19:D19"/>
    <mergeCell ref="A32:B32"/>
    <mergeCell ref="A21:D21"/>
    <mergeCell ref="A22:D22"/>
    <mergeCell ref="A23:D23"/>
    <mergeCell ref="A24:D24"/>
    <mergeCell ref="A25:D25"/>
    <mergeCell ref="A26:D26"/>
    <mergeCell ref="A27:E27"/>
    <mergeCell ref="A28:B28"/>
    <mergeCell ref="A29:B29"/>
    <mergeCell ref="A30:B30"/>
    <mergeCell ref="A31:B31"/>
    <mergeCell ref="A50:D50"/>
    <mergeCell ref="A34:D34"/>
    <mergeCell ref="A35:D35"/>
    <mergeCell ref="A36:D36"/>
    <mergeCell ref="A37:D37"/>
    <mergeCell ref="A38:D38"/>
    <mergeCell ref="A39:D39"/>
    <mergeCell ref="A41:D41"/>
    <mergeCell ref="A42:B42"/>
    <mergeCell ref="A44:B44"/>
    <mergeCell ref="A47:F47"/>
    <mergeCell ref="A49:C49"/>
    <mergeCell ref="A51:F51"/>
    <mergeCell ref="A52:F52"/>
    <mergeCell ref="A53:F53"/>
    <mergeCell ref="A54:B54"/>
    <mergeCell ref="A55:G55"/>
  </mergeCells>
  <printOptions horizontalCentered="1" verticalCentered="1"/>
  <pageMargins left="0.43307086614173229" right="0.35433070866141736" top="0.41" bottom="0.42" header="0.33" footer="0.36"/>
  <pageSetup scale="9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22BC-2A6A-4ABD-84E4-31C0B231879E}">
  <sheetPr>
    <tabColor rgb="FF00B050"/>
    <pageSetUpPr fitToPage="1"/>
  </sheetPr>
  <dimension ref="A1:I53"/>
  <sheetViews>
    <sheetView topLeftCell="A19" zoomScale="90" zoomScaleNormal="90" workbookViewId="0">
      <selection activeCell="G36" sqref="G36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  <col min="9" max="9" width="11.42578125" style="44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203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202</v>
      </c>
    </row>
    <row r="12" spans="1:8" ht="4.5" customHeight="1" thickTop="1" thickBot="1" x14ac:dyDescent="0.25"/>
    <row r="13" spans="1:8" ht="18.75" customHeight="1" thickTop="1" thickBot="1" x14ac:dyDescent="0.25">
      <c r="A13" s="119" t="s">
        <v>257</v>
      </c>
      <c r="B13" s="338" t="s">
        <v>6</v>
      </c>
      <c r="C13" s="340" t="s">
        <v>250</v>
      </c>
      <c r="D13" s="340"/>
      <c r="E13" s="340"/>
      <c r="F13" s="341"/>
      <c r="G13" s="54" t="s">
        <v>0</v>
      </c>
      <c r="H13" s="54" t="s">
        <v>45</v>
      </c>
    </row>
    <row r="14" spans="1:8" ht="15.75" customHeight="1" thickBot="1" x14ac:dyDescent="0.25">
      <c r="A14" s="118" t="s">
        <v>240</v>
      </c>
      <c r="B14" s="339"/>
      <c r="C14" s="342"/>
      <c r="D14" s="342"/>
      <c r="E14" s="342"/>
      <c r="F14" s="343"/>
      <c r="G14" s="55" t="s">
        <v>1</v>
      </c>
      <c r="H14" s="57"/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9" ht="14.25" customHeight="1" thickTop="1" thickBot="1" x14ac:dyDescent="0.25">
      <c r="A17" s="376" t="str">
        <f>Materiales!B4</f>
        <v>ALMBRE GALVANIZADO CAL. 18</v>
      </c>
      <c r="B17" s="377"/>
      <c r="C17" s="377"/>
      <c r="D17" s="377"/>
      <c r="E17" s="61" t="str">
        <f>Materiales!C4</f>
        <v>KG</v>
      </c>
      <c r="F17" s="120">
        <f>Materiales!F4</f>
        <v>97.195301999999998</v>
      </c>
      <c r="G17" s="216">
        <v>1.6E-2</v>
      </c>
      <c r="H17" s="62">
        <f t="shared" ref="H17:H25" si="0">+F17*G17</f>
        <v>1.555124832</v>
      </c>
      <c r="I17" s="108"/>
    </row>
    <row r="18" spans="1:9" ht="14.25" customHeight="1" thickTop="1" thickBot="1" x14ac:dyDescent="0.25">
      <c r="A18" s="376" t="str">
        <f>Materiales!B5</f>
        <v>PRIMARIO ANTICORROSIVO CFE-P34</v>
      </c>
      <c r="B18" s="377"/>
      <c r="C18" s="377"/>
      <c r="D18" s="377"/>
      <c r="E18" s="61" t="str">
        <f>Materiales!C5</f>
        <v>L</v>
      </c>
      <c r="F18" s="120">
        <f>Materiales!F5</f>
        <v>392.411541</v>
      </c>
      <c r="G18" s="228">
        <v>0.08</v>
      </c>
      <c r="H18" s="62">
        <f t="shared" si="0"/>
        <v>31.392923280000002</v>
      </c>
      <c r="I18" s="108"/>
    </row>
    <row r="19" spans="1:9" ht="14.25" customHeight="1" thickTop="1" thickBot="1" x14ac:dyDescent="0.25">
      <c r="A19" s="376" t="str">
        <f>Materiales!B6</f>
        <v>SOLVENTE CATALIZADOR CFE-P34</v>
      </c>
      <c r="B19" s="377"/>
      <c r="C19" s="377"/>
      <c r="D19" s="377"/>
      <c r="E19" s="61" t="str">
        <f>Materiales!C6</f>
        <v>L</v>
      </c>
      <c r="F19" s="120">
        <f>Materiales!F6</f>
        <v>122.02800000000001</v>
      </c>
      <c r="G19" s="228">
        <v>0.03</v>
      </c>
      <c r="H19" s="62">
        <f t="shared" si="0"/>
        <v>3.6608399999999999</v>
      </c>
      <c r="I19" s="108"/>
    </row>
    <row r="20" spans="1:9" ht="14.25" customHeight="1" thickTop="1" thickBot="1" x14ac:dyDescent="0.25">
      <c r="A20" s="376" t="str">
        <f>Materiales!B10</f>
        <v>BROCHA DE 2"</v>
      </c>
      <c r="B20" s="377"/>
      <c r="C20" s="377"/>
      <c r="D20" s="377"/>
      <c r="E20" s="61" t="str">
        <f>Materiales!C10</f>
        <v>PZA</v>
      </c>
      <c r="F20" s="120">
        <f>Materiales!F10</f>
        <v>63.556249999999999</v>
      </c>
      <c r="G20" s="228">
        <v>0.1</v>
      </c>
      <c r="H20" s="62">
        <f t="shared" si="0"/>
        <v>6.3556249999999999</v>
      </c>
      <c r="I20" s="108"/>
    </row>
    <row r="21" spans="1:9" ht="21" customHeight="1" thickTop="1" thickBot="1" x14ac:dyDescent="0.25">
      <c r="A21" s="376" t="str">
        <f>Materiales!B12</f>
        <v>COLCHA ARMADA DE LANA MINERAL DE 2´X8´X4" DE ESPESOR CON UNA DENSIDAD DE 12 LBR/PIES</v>
      </c>
      <c r="B21" s="377"/>
      <c r="C21" s="377"/>
      <c r="D21" s="377"/>
      <c r="E21" s="246" t="str">
        <f>Materiales!C12</f>
        <v>M2</v>
      </c>
      <c r="F21" s="121">
        <f>Materiales!F12</f>
        <v>957.15712499999995</v>
      </c>
      <c r="G21" s="228">
        <v>0.7</v>
      </c>
      <c r="H21" s="62">
        <f t="shared" si="0"/>
        <v>670.00998749999997</v>
      </c>
      <c r="I21" s="108"/>
    </row>
    <row r="22" spans="1:9" ht="14.25" customHeight="1" thickTop="1" thickBot="1" x14ac:dyDescent="0.25">
      <c r="A22" s="376" t="str">
        <f>Materiales!B13</f>
        <v>CEMENTO MONOLITICO</v>
      </c>
      <c r="B22" s="377"/>
      <c r="C22" s="377"/>
      <c r="D22" s="377"/>
      <c r="E22" s="61" t="str">
        <f>Materiales!C13</f>
        <v>KG</v>
      </c>
      <c r="F22" s="120">
        <f>Materiales!F13</f>
        <v>14.490824999999999</v>
      </c>
      <c r="G22" s="228">
        <v>5</v>
      </c>
      <c r="H22" s="62">
        <f t="shared" si="0"/>
        <v>72.454124999999991</v>
      </c>
      <c r="I22" s="108"/>
    </row>
    <row r="23" spans="1:9" ht="14.25" customHeight="1" thickTop="1" thickBot="1" x14ac:dyDescent="0.25">
      <c r="A23" s="376" t="str">
        <f>Materiales!B14</f>
        <v>IMPERMEABILIZANTE HI MASTIC</v>
      </c>
      <c r="B23" s="377"/>
      <c r="C23" s="377"/>
      <c r="D23" s="377"/>
      <c r="E23" s="61" t="str">
        <f>Materiales!C14</f>
        <v>L</v>
      </c>
      <c r="F23" s="120">
        <f>Materiales!F14</f>
        <v>96.971583999999993</v>
      </c>
      <c r="G23" s="228">
        <v>0.2</v>
      </c>
      <c r="H23" s="62">
        <f t="shared" si="0"/>
        <v>19.394316799999999</v>
      </c>
      <c r="I23" s="108"/>
    </row>
    <row r="24" spans="1:9" ht="14.25" customHeight="1" thickTop="1" thickBot="1" x14ac:dyDescent="0.25">
      <c r="A24" s="376" t="str">
        <f>Materiales!B18</f>
        <v>P31 RECUBRIMIENTO PARA ALTAS TEMPERATURAS COLOR ALUMINIO</v>
      </c>
      <c r="B24" s="377"/>
      <c r="C24" s="377"/>
      <c r="D24" s="377"/>
      <c r="E24" s="61" t="str">
        <f>Materiales!C18</f>
        <v>L</v>
      </c>
      <c r="F24" s="120">
        <f>Materiales!F18</f>
        <v>638</v>
      </c>
      <c r="G24" s="228">
        <v>0.35</v>
      </c>
      <c r="H24" s="62">
        <f t="shared" si="0"/>
        <v>223.29999999999998</v>
      </c>
      <c r="I24" s="108"/>
    </row>
    <row r="25" spans="1:9" ht="14.25" customHeight="1" thickTop="1" thickBot="1" x14ac:dyDescent="0.25">
      <c r="A25" s="376" t="str">
        <f>Materiales!B19</f>
        <v>ADELGAZADOR PARA CFE-P31</v>
      </c>
      <c r="B25" s="377"/>
      <c r="C25" s="377"/>
      <c r="D25" s="377"/>
      <c r="E25" s="61" t="str">
        <f>Materiales!C19</f>
        <v>L</v>
      </c>
      <c r="F25" s="120">
        <f>Materiales!F19</f>
        <v>100.2</v>
      </c>
      <c r="G25" s="228">
        <v>3.0000000000000001E-3</v>
      </c>
      <c r="H25" s="62">
        <f t="shared" si="0"/>
        <v>0.30060000000000003</v>
      </c>
      <c r="I25" s="108"/>
    </row>
    <row r="26" spans="1:9" ht="12" customHeight="1" thickBot="1" x14ac:dyDescent="0.25">
      <c r="A26" s="318"/>
      <c r="B26" s="319"/>
      <c r="C26" s="319"/>
      <c r="D26" s="319"/>
      <c r="E26" s="320"/>
      <c r="F26" s="65" t="s">
        <v>11</v>
      </c>
      <c r="G26" s="11"/>
      <c r="H26" s="66">
        <f>SUM(H17:H25)</f>
        <v>1028.423542412</v>
      </c>
      <c r="I26" s="108"/>
    </row>
    <row r="27" spans="1:9" ht="12" customHeight="1" thickTop="1" thickBot="1" x14ac:dyDescent="0.25">
      <c r="A27" s="300" t="s">
        <v>3</v>
      </c>
      <c r="B27" s="301"/>
      <c r="C27" s="3"/>
      <c r="D27" s="3"/>
      <c r="E27" s="3"/>
      <c r="F27" s="85"/>
      <c r="G27" s="3"/>
      <c r="H27" s="4"/>
    </row>
    <row r="28" spans="1:9" ht="12" customHeight="1" thickTop="1" thickBot="1" x14ac:dyDescent="0.25">
      <c r="A28" s="302" t="s">
        <v>12</v>
      </c>
      <c r="B28" s="303"/>
      <c r="C28" s="23" t="s">
        <v>0</v>
      </c>
      <c r="D28" s="20" t="s">
        <v>13</v>
      </c>
      <c r="E28" s="22" t="s">
        <v>14</v>
      </c>
      <c r="F28" s="80" t="s">
        <v>15</v>
      </c>
      <c r="G28" s="23" t="s">
        <v>16</v>
      </c>
      <c r="H28" s="20" t="s">
        <v>17</v>
      </c>
    </row>
    <row r="29" spans="1:9" ht="18.600000000000001" customHeight="1" thickBot="1" x14ac:dyDescent="0.25">
      <c r="A29" s="476" t="str">
        <f>'CUADR 2'!C13</f>
        <v>CUADRILLA no.2 ALBAÑILERIA (0.2 DE CABO DE OF. +  1 OF. ALBAÑIL + 1  AY. OFICIALES)</v>
      </c>
      <c r="B29" s="476"/>
      <c r="C29" s="252" t="s">
        <v>63</v>
      </c>
      <c r="D29" s="116">
        <f>'CUADR 2'!H48</f>
        <v>1525.2612521082979</v>
      </c>
      <c r="E29" s="246">
        <v>1</v>
      </c>
      <c r="F29" s="270">
        <f>D29*E29</f>
        <v>1525.2612521082979</v>
      </c>
      <c r="G29" s="253">
        <v>20</v>
      </c>
      <c r="H29" s="271">
        <f>F29/G29</f>
        <v>76.263062605414888</v>
      </c>
    </row>
    <row r="30" spans="1:9" ht="18.600000000000001" customHeight="1" thickBot="1" x14ac:dyDescent="0.25">
      <c r="A30" s="479" t="str">
        <f>'CUADR 3'!C13</f>
        <v>CUADRILLA no.3 AISLAMIENTOS  (0.3 DE CABO DE OF  1 OF.  AISLADOR  + 2 AYUD OFICIAL.)</v>
      </c>
      <c r="B30" s="480"/>
      <c r="C30" s="252" t="s">
        <v>63</v>
      </c>
      <c r="D30" s="116">
        <f>'CUADR 3'!H48</f>
        <v>2253.5629213639095</v>
      </c>
      <c r="E30" s="266">
        <v>1</v>
      </c>
      <c r="F30" s="270">
        <f>D30*E30</f>
        <v>2253.5629213639095</v>
      </c>
      <c r="G30" s="268">
        <v>20</v>
      </c>
      <c r="H30" s="271">
        <f>F30/G30</f>
        <v>112.67814606819547</v>
      </c>
    </row>
    <row r="31" spans="1:9" ht="23.1" customHeight="1" thickBot="1" x14ac:dyDescent="0.25">
      <c r="A31" s="477" t="str">
        <f>'CUADR 1'!C13</f>
        <v>CUADRILLA no.1 PINTURA (0.2 DE CABO DE OF. + 1 OF.  PINTORES + 1 AYUD. OFICIAL )</v>
      </c>
      <c r="B31" s="478"/>
      <c r="C31" s="264" t="s">
        <v>63</v>
      </c>
      <c r="D31" s="265">
        <f>'CUADR 1'!H48</f>
        <v>1525.2612521082979</v>
      </c>
      <c r="E31" s="266">
        <v>1</v>
      </c>
      <c r="F31" s="267">
        <f>D31*E31</f>
        <v>1525.2612521082979</v>
      </c>
      <c r="G31" s="268">
        <v>20</v>
      </c>
      <c r="H31" s="269">
        <f>F31/G31</f>
        <v>76.263062605414888</v>
      </c>
    </row>
    <row r="32" spans="1:9" ht="12" customHeight="1" thickBot="1" x14ac:dyDescent="0.25">
      <c r="A32" s="14"/>
      <c r="B32" s="15"/>
      <c r="C32" s="15"/>
      <c r="D32" s="15"/>
      <c r="E32" s="9"/>
      <c r="F32" s="12" t="s">
        <v>18</v>
      </c>
      <c r="G32" s="5"/>
      <c r="H32" s="16">
        <f>SUM(H29:H31)</f>
        <v>265.20427127902525</v>
      </c>
    </row>
    <row r="33" spans="1:9" ht="12" customHeight="1" thickTop="1" thickBot="1" x14ac:dyDescent="0.25">
      <c r="A33" s="309" t="s">
        <v>19</v>
      </c>
      <c r="B33" s="310"/>
      <c r="C33" s="310"/>
      <c r="D33" s="310"/>
      <c r="E33" s="85"/>
      <c r="F33" s="85"/>
      <c r="G33" s="85"/>
      <c r="H33" s="86"/>
    </row>
    <row r="34" spans="1:9" ht="12" customHeight="1" thickBot="1" x14ac:dyDescent="0.25">
      <c r="A34" s="311" t="s">
        <v>7</v>
      </c>
      <c r="B34" s="312"/>
      <c r="C34" s="312"/>
      <c r="D34" s="313"/>
      <c r="E34" s="87" t="s">
        <v>0</v>
      </c>
      <c r="F34" s="87" t="s">
        <v>20</v>
      </c>
      <c r="G34" s="87" t="s">
        <v>21</v>
      </c>
      <c r="H34" s="88" t="s">
        <v>22</v>
      </c>
    </row>
    <row r="35" spans="1:9" ht="12" customHeight="1" thickTop="1" thickBot="1" x14ac:dyDescent="0.25">
      <c r="A35" s="314" t="str">
        <f>EQUIPOS!C4</f>
        <v>ANDAMIOS CON CANASTILLA Y GUINDOLA</v>
      </c>
      <c r="B35" s="315"/>
      <c r="C35" s="315"/>
      <c r="D35" s="315"/>
      <c r="E35" s="218" t="str">
        <f>EQUIPOS!D4</f>
        <v>HORA</v>
      </c>
      <c r="F35" s="263">
        <f>EQUIPOS!G4</f>
        <v>54.556685000000002</v>
      </c>
      <c r="G35" s="219">
        <v>10</v>
      </c>
      <c r="H35" s="60">
        <f>F35/G35</f>
        <v>5.4556684999999998</v>
      </c>
      <c r="I35" s="109"/>
    </row>
    <row r="36" spans="1:9" ht="24" customHeight="1" thickTop="1" thickBot="1" x14ac:dyDescent="0.25">
      <c r="A36" s="314" t="str">
        <f>EQUIPOS!C5</f>
        <v>CAMION DOBLE RODADA CHEVROLET SILVERADO CON PLATAFORMA DE REDILAS CARGA HASTA 2 1/2 TON.</v>
      </c>
      <c r="B36" s="315"/>
      <c r="C36" s="315"/>
      <c r="D36" s="315"/>
      <c r="E36" s="218" t="str">
        <f>EQUIPOS!D5</f>
        <v>HORA</v>
      </c>
      <c r="F36" s="263">
        <f>EQUIPOS!G5</f>
        <v>567.42003099999999</v>
      </c>
      <c r="G36" s="219">
        <v>36</v>
      </c>
      <c r="H36" s="60">
        <f t="shared" ref="H36" si="1">F36/G36</f>
        <v>15.761667527777778</v>
      </c>
      <c r="I36" s="109"/>
    </row>
    <row r="37" spans="1:9" ht="12" customHeight="1" thickBot="1" x14ac:dyDescent="0.25">
      <c r="A37" s="17"/>
      <c r="B37" s="18"/>
      <c r="C37" s="18"/>
      <c r="D37" s="18"/>
      <c r="E37" s="6"/>
      <c r="F37" s="117" t="s">
        <v>23</v>
      </c>
      <c r="G37" s="87"/>
      <c r="H37" s="217">
        <f>SUM(H35:H36)</f>
        <v>21.217336027777776</v>
      </c>
      <c r="I37" s="109"/>
    </row>
    <row r="38" spans="1:9" ht="12" customHeight="1" thickTop="1" thickBot="1" x14ac:dyDescent="0.25">
      <c r="A38" s="300" t="s">
        <v>24</v>
      </c>
      <c r="B38" s="301"/>
      <c r="C38" s="301"/>
      <c r="D38" s="301"/>
      <c r="E38" s="3"/>
      <c r="F38" s="3"/>
      <c r="G38" s="3"/>
      <c r="H38" s="4"/>
    </row>
    <row r="39" spans="1:9" ht="12" customHeight="1" thickTop="1" thickBot="1" x14ac:dyDescent="0.25">
      <c r="A39" s="316" t="s">
        <v>25</v>
      </c>
      <c r="B39" s="317"/>
      <c r="C39" s="19"/>
      <c r="D39" s="19"/>
      <c r="E39" s="20"/>
      <c r="F39" s="21" t="s">
        <v>26</v>
      </c>
      <c r="G39" s="6" t="s">
        <v>27</v>
      </c>
      <c r="H39" s="6" t="s">
        <v>28</v>
      </c>
    </row>
    <row r="40" spans="1:9" ht="12" customHeight="1" thickTop="1" thickBot="1" x14ac:dyDescent="0.25">
      <c r="A40" s="17"/>
      <c r="B40" s="18"/>
      <c r="C40" s="18"/>
      <c r="D40" s="18"/>
      <c r="E40" s="6"/>
      <c r="F40" s="244">
        <f>SOBRECOSTOS!E13</f>
        <v>3.6666666666666667E-2</v>
      </c>
      <c r="G40" s="78">
        <f>+H32</f>
        <v>265.20427127902525</v>
      </c>
      <c r="H40" s="69">
        <f>+F40*G40</f>
        <v>9.7241566135642596</v>
      </c>
      <c r="I40" s="110"/>
    </row>
    <row r="41" spans="1:9" ht="12" customHeight="1" thickTop="1" thickBot="1" x14ac:dyDescent="0.25">
      <c r="A41" s="298" t="s">
        <v>29</v>
      </c>
      <c r="B41" s="299"/>
      <c r="C41" s="22"/>
      <c r="D41" s="22"/>
      <c r="E41" s="23"/>
      <c r="F41" s="79" t="s">
        <v>30</v>
      </c>
      <c r="G41" s="80" t="s">
        <v>27</v>
      </c>
      <c r="H41" s="81" t="s">
        <v>31</v>
      </c>
      <c r="I41" s="111"/>
    </row>
    <row r="42" spans="1:9" ht="12" customHeight="1" thickBot="1" x14ac:dyDescent="0.25">
      <c r="A42" s="13"/>
      <c r="B42" s="12"/>
      <c r="C42" s="12"/>
      <c r="D42" s="12"/>
      <c r="E42" s="5"/>
      <c r="F42" s="245">
        <f>SOBRECOSTOS!E14</f>
        <v>3.3333333333333333E-2</v>
      </c>
      <c r="G42" s="76">
        <f>+H32</f>
        <v>265.20427127902525</v>
      </c>
      <c r="H42" s="75">
        <f>+F42*G42</f>
        <v>8.840142375967508</v>
      </c>
      <c r="I42" s="110"/>
    </row>
    <row r="43" spans="1:9" ht="12" customHeight="1" thickTop="1" thickBot="1" x14ac:dyDescent="0.25">
      <c r="A43" s="10"/>
      <c r="B43" s="7"/>
      <c r="C43" s="7"/>
      <c r="D43" s="7"/>
      <c r="E43" s="8"/>
      <c r="F43" s="18" t="s">
        <v>32</v>
      </c>
      <c r="G43" s="6"/>
      <c r="H43" s="16">
        <f>+H40+H42</f>
        <v>18.564298989531768</v>
      </c>
      <c r="I43" s="110"/>
    </row>
    <row r="44" spans="1:9" ht="12" customHeight="1" thickTop="1" thickBot="1" x14ac:dyDescent="0.25">
      <c r="A44" s="291" t="s">
        <v>33</v>
      </c>
      <c r="B44" s="292"/>
      <c r="C44" s="292"/>
      <c r="D44" s="292"/>
      <c r="E44" s="292"/>
      <c r="F44" s="292"/>
      <c r="G44" s="6"/>
      <c r="H44" s="16">
        <f>+H26+H32+H37+H43</f>
        <v>1333.4094487083348</v>
      </c>
      <c r="I44" s="108"/>
    </row>
    <row r="45" spans="1:9" ht="12" customHeight="1" thickTop="1" thickBot="1" x14ac:dyDescent="0.25">
      <c r="A45" s="24"/>
      <c r="B45" s="25"/>
      <c r="C45" s="25"/>
      <c r="D45" s="25"/>
      <c r="E45" s="25"/>
      <c r="F45" s="25"/>
      <c r="G45" s="25"/>
      <c r="H45" s="25"/>
    </row>
    <row r="46" spans="1:9" ht="12" customHeight="1" thickTop="1" thickBot="1" x14ac:dyDescent="0.25">
      <c r="A46" s="293" t="s">
        <v>34</v>
      </c>
      <c r="B46" s="294"/>
      <c r="C46" s="294"/>
      <c r="D46" s="26"/>
      <c r="E46" s="26"/>
      <c r="F46" s="2"/>
      <c r="G46" s="2" t="s">
        <v>4</v>
      </c>
      <c r="H46" s="2" t="s">
        <v>2</v>
      </c>
    </row>
    <row r="47" spans="1:9" ht="12" customHeight="1" thickTop="1" thickBot="1" x14ac:dyDescent="0.25">
      <c r="A47" s="295" t="s">
        <v>35</v>
      </c>
      <c r="B47" s="296"/>
      <c r="C47" s="296"/>
      <c r="D47" s="296"/>
      <c r="E47" s="27"/>
      <c r="F47" s="28"/>
      <c r="G47" s="29">
        <f>SOBRECOSTOS!E9</f>
        <v>0.21278866666666665</v>
      </c>
      <c r="H47" s="30">
        <f>+G47*H44</f>
        <v>283.73441871138158</v>
      </c>
    </row>
    <row r="48" spans="1:9" ht="12" customHeight="1" thickTop="1" thickBot="1" x14ac:dyDescent="0.25">
      <c r="A48" s="295" t="s">
        <v>36</v>
      </c>
      <c r="B48" s="296"/>
      <c r="C48" s="296"/>
      <c r="D48" s="296"/>
      <c r="E48" s="296"/>
      <c r="F48" s="297"/>
      <c r="G48" s="29">
        <f>SOBRECOSTOS!E10</f>
        <v>1.0568333333333334E-2</v>
      </c>
      <c r="H48" s="30">
        <f>(H44+H47)*G48</f>
        <v>17.090515438847369</v>
      </c>
    </row>
    <row r="49" spans="1:9" ht="12" customHeight="1" thickTop="1" thickBot="1" x14ac:dyDescent="0.25">
      <c r="A49" s="295" t="s">
        <v>37</v>
      </c>
      <c r="B49" s="296"/>
      <c r="C49" s="296"/>
      <c r="D49" s="296"/>
      <c r="E49" s="296"/>
      <c r="F49" s="297"/>
      <c r="G49" s="29">
        <f>SOBRECOSTOS!E11</f>
        <v>9.3333333333333338E-2</v>
      </c>
      <c r="H49" s="30">
        <f>(H44+H47+H48)*G49</f>
        <v>152.52854240013264</v>
      </c>
    </row>
    <row r="50" spans="1:9" ht="12" customHeight="1" thickTop="1" thickBot="1" x14ac:dyDescent="0.25">
      <c r="A50" s="295" t="s">
        <v>38</v>
      </c>
      <c r="B50" s="296"/>
      <c r="C50" s="296"/>
      <c r="D50" s="296"/>
      <c r="E50" s="296"/>
      <c r="F50" s="297"/>
      <c r="G50" s="29">
        <f>SOBRECOSTOS!E12</f>
        <v>8.0053333333333331E-3</v>
      </c>
      <c r="H50" s="30">
        <f>(H44+H47+H48+H49)*G50</f>
        <v>14.303632804337617</v>
      </c>
    </row>
    <row r="51" spans="1:9" ht="12" customHeight="1" thickTop="1" thickBot="1" x14ac:dyDescent="0.25">
      <c r="A51" s="286" t="s">
        <v>5</v>
      </c>
      <c r="B51" s="287"/>
      <c r="C51" s="31"/>
      <c r="D51" s="31"/>
      <c r="E51" s="31"/>
      <c r="F51" s="31"/>
      <c r="G51" s="31"/>
      <c r="H51" s="32"/>
    </row>
    <row r="52" spans="1:9" ht="18" customHeight="1" thickTop="1" thickBot="1" x14ac:dyDescent="0.25">
      <c r="A52" s="288" t="s">
        <v>39</v>
      </c>
      <c r="B52" s="289"/>
      <c r="C52" s="289"/>
      <c r="D52" s="289"/>
      <c r="E52" s="289"/>
      <c r="F52" s="289"/>
      <c r="G52" s="290"/>
      <c r="H52" s="58">
        <f>SUM(H47:H50)+H44</f>
        <v>1801.0665580630341</v>
      </c>
      <c r="I52" s="45"/>
    </row>
    <row r="53" spans="1:9" ht="13.5" thickTop="1" x14ac:dyDescent="0.2"/>
  </sheetData>
  <mergeCells count="44">
    <mergeCell ref="A52:G52"/>
    <mergeCell ref="A46:C46"/>
    <mergeCell ref="A47:D47"/>
    <mergeCell ref="A48:F48"/>
    <mergeCell ref="A49:F49"/>
    <mergeCell ref="A50:F50"/>
    <mergeCell ref="A51:B51"/>
    <mergeCell ref="A44:F44"/>
    <mergeCell ref="A29:B29"/>
    <mergeCell ref="A31:B31"/>
    <mergeCell ref="A33:D33"/>
    <mergeCell ref="A34:D34"/>
    <mergeCell ref="A35:D35"/>
    <mergeCell ref="A36:D36"/>
    <mergeCell ref="A38:D38"/>
    <mergeCell ref="A39:B39"/>
    <mergeCell ref="A41:B41"/>
    <mergeCell ref="A30:B30"/>
    <mergeCell ref="A28:B28"/>
    <mergeCell ref="A20:D20"/>
    <mergeCell ref="A21:D21"/>
    <mergeCell ref="A22:D22"/>
    <mergeCell ref="A25:D25"/>
    <mergeCell ref="A26:E26"/>
    <mergeCell ref="A27:B27"/>
    <mergeCell ref="A23:D23"/>
    <mergeCell ref="A24:D24"/>
    <mergeCell ref="A15:B15"/>
    <mergeCell ref="A16:D16"/>
    <mergeCell ref="A17:D17"/>
    <mergeCell ref="A18:D18"/>
    <mergeCell ref="A19:D19"/>
    <mergeCell ref="A6:C9"/>
    <mergeCell ref="D6:F9"/>
    <mergeCell ref="G6:H9"/>
    <mergeCell ref="A10:G11"/>
    <mergeCell ref="B13:B14"/>
    <mergeCell ref="C13:F14"/>
    <mergeCell ref="A1:B5"/>
    <mergeCell ref="C1:E1"/>
    <mergeCell ref="D2:G2"/>
    <mergeCell ref="C3:E3"/>
    <mergeCell ref="C4:C5"/>
    <mergeCell ref="D4:G5"/>
  </mergeCells>
  <printOptions horizontalCentered="1" verticalCentered="1"/>
  <pageMargins left="0.43307086614173229" right="0.35433070866141736" top="0.41" bottom="0.42" header="0.33" footer="0.36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0310-FD2F-4F33-8D90-45960631C791}">
  <sheetPr>
    <tabColor rgb="FF00B050"/>
    <pageSetUpPr fitToPage="1"/>
  </sheetPr>
  <dimension ref="A1:I53"/>
  <sheetViews>
    <sheetView topLeftCell="A10" zoomScale="90" zoomScaleNormal="90" workbookViewId="0">
      <selection activeCell="G36" sqref="G36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  <col min="9" max="9" width="11.42578125" style="44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262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202</v>
      </c>
    </row>
    <row r="12" spans="1:8" ht="4.5" customHeight="1" thickTop="1" thickBot="1" x14ac:dyDescent="0.25"/>
    <row r="13" spans="1:8" ht="18.75" customHeight="1" thickTop="1" thickBot="1" x14ac:dyDescent="0.25">
      <c r="A13" s="119" t="s">
        <v>258</v>
      </c>
      <c r="B13" s="338" t="s">
        <v>6</v>
      </c>
      <c r="C13" s="340" t="s">
        <v>251</v>
      </c>
      <c r="D13" s="340"/>
      <c r="E13" s="340"/>
      <c r="F13" s="341"/>
      <c r="G13" s="54" t="s">
        <v>0</v>
      </c>
      <c r="H13" s="54" t="s">
        <v>45</v>
      </c>
    </row>
    <row r="14" spans="1:8" ht="15.75" customHeight="1" thickBot="1" x14ac:dyDescent="0.25">
      <c r="A14" s="118" t="s">
        <v>240</v>
      </c>
      <c r="B14" s="339"/>
      <c r="C14" s="342"/>
      <c r="D14" s="342"/>
      <c r="E14" s="342"/>
      <c r="F14" s="343"/>
      <c r="G14" s="55" t="s">
        <v>1</v>
      </c>
      <c r="H14" s="57"/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9" ht="14.25" customHeight="1" thickTop="1" thickBot="1" x14ac:dyDescent="0.25">
      <c r="A17" s="376" t="str">
        <f>Materiales!B4</f>
        <v>ALMBRE GALVANIZADO CAL. 18</v>
      </c>
      <c r="B17" s="377"/>
      <c r="C17" s="377"/>
      <c r="D17" s="377"/>
      <c r="E17" s="61" t="str">
        <f>Materiales!C4</f>
        <v>KG</v>
      </c>
      <c r="F17" s="120">
        <f>Materiales!F4</f>
        <v>97.195301999999998</v>
      </c>
      <c r="G17" s="216">
        <v>2.1999999999999999E-2</v>
      </c>
      <c r="H17" s="62">
        <f t="shared" ref="H17:H25" si="0">+F17*G17</f>
        <v>2.138296644</v>
      </c>
      <c r="I17" s="108"/>
    </row>
    <row r="18" spans="1:9" ht="14.25" customHeight="1" thickTop="1" thickBot="1" x14ac:dyDescent="0.25">
      <c r="A18" s="376" t="str">
        <f>Materiales!B5</f>
        <v>PRIMARIO ANTICORROSIVO CFE-P34</v>
      </c>
      <c r="B18" s="377"/>
      <c r="C18" s="377"/>
      <c r="D18" s="377"/>
      <c r="E18" s="61" t="str">
        <f>Materiales!C5</f>
        <v>L</v>
      </c>
      <c r="F18" s="120">
        <f>Materiales!F5</f>
        <v>392.411541</v>
      </c>
      <c r="G18" s="228">
        <v>0.08</v>
      </c>
      <c r="H18" s="62">
        <f t="shared" si="0"/>
        <v>31.392923280000002</v>
      </c>
      <c r="I18" s="108"/>
    </row>
    <row r="19" spans="1:9" ht="14.25" customHeight="1" thickTop="1" thickBot="1" x14ac:dyDescent="0.25">
      <c r="A19" s="376" t="str">
        <f>Materiales!B6</f>
        <v>SOLVENTE CATALIZADOR CFE-P34</v>
      </c>
      <c r="B19" s="377"/>
      <c r="C19" s="377"/>
      <c r="D19" s="377"/>
      <c r="E19" s="61" t="str">
        <f>Materiales!C6</f>
        <v>L</v>
      </c>
      <c r="F19" s="120">
        <f>Materiales!F6</f>
        <v>122.02800000000001</v>
      </c>
      <c r="G19" s="228">
        <v>0.06</v>
      </c>
      <c r="H19" s="62">
        <f t="shared" si="0"/>
        <v>7.3216799999999997</v>
      </c>
      <c r="I19" s="108"/>
    </row>
    <row r="20" spans="1:9" ht="14.25" customHeight="1" thickTop="1" thickBot="1" x14ac:dyDescent="0.25">
      <c r="A20" s="376" t="str">
        <f>Materiales!B10</f>
        <v>BROCHA DE 2"</v>
      </c>
      <c r="B20" s="377"/>
      <c r="C20" s="377"/>
      <c r="D20" s="377"/>
      <c r="E20" s="61" t="str">
        <f>Materiales!C10</f>
        <v>PZA</v>
      </c>
      <c r="F20" s="120">
        <f>Materiales!F10</f>
        <v>63.556249999999999</v>
      </c>
      <c r="G20" s="228">
        <v>0.1</v>
      </c>
      <c r="H20" s="62">
        <f t="shared" si="0"/>
        <v>6.3556249999999999</v>
      </c>
      <c r="I20" s="108"/>
    </row>
    <row r="21" spans="1:9" ht="21" customHeight="1" thickTop="1" thickBot="1" x14ac:dyDescent="0.25">
      <c r="A21" s="376" t="str">
        <f>Materiales!B12</f>
        <v>COLCHA ARMADA DE LANA MINERAL DE 2´X8´X4" DE ESPESOR CON UNA DENSIDAD DE 12 LBR/PIES</v>
      </c>
      <c r="B21" s="377"/>
      <c r="C21" s="377"/>
      <c r="D21" s="377"/>
      <c r="E21" s="61" t="str">
        <f>Materiales!C12</f>
        <v>M2</v>
      </c>
      <c r="F21" s="120">
        <f>Materiales!F12</f>
        <v>957.15712499999995</v>
      </c>
      <c r="G21" s="228">
        <v>0.8</v>
      </c>
      <c r="H21" s="62">
        <f t="shared" si="0"/>
        <v>765.72569999999996</v>
      </c>
      <c r="I21" s="108"/>
    </row>
    <row r="22" spans="1:9" ht="14.25" customHeight="1" thickTop="1" thickBot="1" x14ac:dyDescent="0.25">
      <c r="A22" s="376" t="str">
        <f>Materiales!B13</f>
        <v>CEMENTO MONOLITICO</v>
      </c>
      <c r="B22" s="377"/>
      <c r="C22" s="377"/>
      <c r="D22" s="377"/>
      <c r="E22" s="61" t="str">
        <f>Materiales!C13</f>
        <v>KG</v>
      </c>
      <c r="F22" s="120">
        <f>Materiales!F13</f>
        <v>14.490824999999999</v>
      </c>
      <c r="G22" s="228">
        <v>6</v>
      </c>
      <c r="H22" s="62">
        <f t="shared" si="0"/>
        <v>86.944949999999992</v>
      </c>
      <c r="I22" s="108"/>
    </row>
    <row r="23" spans="1:9" ht="14.25" customHeight="1" thickTop="1" thickBot="1" x14ac:dyDescent="0.25">
      <c r="A23" s="376" t="str">
        <f>Materiales!B14</f>
        <v>IMPERMEABILIZANTE HI MASTIC</v>
      </c>
      <c r="B23" s="377"/>
      <c r="C23" s="377"/>
      <c r="D23" s="377"/>
      <c r="E23" s="61" t="str">
        <f>Materiales!C14</f>
        <v>L</v>
      </c>
      <c r="F23" s="120">
        <f>Materiales!F14</f>
        <v>96.971583999999993</v>
      </c>
      <c r="G23" s="228">
        <v>0.25</v>
      </c>
      <c r="H23" s="62">
        <f t="shared" si="0"/>
        <v>24.242895999999998</v>
      </c>
      <c r="I23" s="108"/>
    </row>
    <row r="24" spans="1:9" ht="14.25" customHeight="1" thickTop="1" thickBot="1" x14ac:dyDescent="0.25">
      <c r="A24" s="376" t="str">
        <f>Materiales!B18</f>
        <v>P31 RECUBRIMIENTO PARA ALTAS TEMPERATURAS COLOR ALUMINIO</v>
      </c>
      <c r="B24" s="377"/>
      <c r="C24" s="377"/>
      <c r="D24" s="377"/>
      <c r="E24" s="61" t="str">
        <f>Materiales!C18</f>
        <v>L</v>
      </c>
      <c r="F24" s="120">
        <f>Materiales!F18</f>
        <v>638</v>
      </c>
      <c r="G24" s="228">
        <v>0.2</v>
      </c>
      <c r="H24" s="62">
        <f t="shared" si="0"/>
        <v>127.60000000000001</v>
      </c>
      <c r="I24" s="108"/>
    </row>
    <row r="25" spans="1:9" ht="14.25" customHeight="1" thickTop="1" thickBot="1" x14ac:dyDescent="0.25">
      <c r="A25" s="376" t="str">
        <f>Materiales!B19</f>
        <v>ADELGAZADOR PARA CFE-P31</v>
      </c>
      <c r="B25" s="377"/>
      <c r="C25" s="377"/>
      <c r="D25" s="377"/>
      <c r="E25" s="61" t="str">
        <f>Materiales!C19</f>
        <v>L</v>
      </c>
      <c r="F25" s="120">
        <f>Materiales!F19</f>
        <v>100.2</v>
      </c>
      <c r="G25" s="228">
        <v>0.08</v>
      </c>
      <c r="H25" s="62">
        <f t="shared" si="0"/>
        <v>8.016</v>
      </c>
      <c r="I25" s="108"/>
    </row>
    <row r="26" spans="1:9" ht="12" customHeight="1" thickBot="1" x14ac:dyDescent="0.25">
      <c r="A26" s="318"/>
      <c r="B26" s="319"/>
      <c r="C26" s="319"/>
      <c r="D26" s="319"/>
      <c r="E26" s="320"/>
      <c r="F26" s="65" t="s">
        <v>11</v>
      </c>
      <c r="G26" s="11"/>
      <c r="H26" s="66">
        <f>SUM(H17:H25)</f>
        <v>1059.7380709239999</v>
      </c>
      <c r="I26" s="108"/>
    </row>
    <row r="27" spans="1:9" ht="12" customHeight="1" thickTop="1" thickBot="1" x14ac:dyDescent="0.25">
      <c r="A27" s="300" t="s">
        <v>3</v>
      </c>
      <c r="B27" s="301"/>
      <c r="C27" s="3"/>
      <c r="D27" s="3"/>
      <c r="E27" s="3"/>
      <c r="F27" s="85"/>
      <c r="G27" s="3"/>
      <c r="H27" s="4"/>
    </row>
    <row r="28" spans="1:9" ht="12" customHeight="1" thickTop="1" thickBot="1" x14ac:dyDescent="0.25">
      <c r="A28" s="302" t="s">
        <v>12</v>
      </c>
      <c r="B28" s="303"/>
      <c r="C28" s="23" t="s">
        <v>0</v>
      </c>
      <c r="D28" s="20" t="s">
        <v>13</v>
      </c>
      <c r="E28" s="22" t="s">
        <v>14</v>
      </c>
      <c r="F28" s="80" t="s">
        <v>15</v>
      </c>
      <c r="G28" s="23" t="s">
        <v>16</v>
      </c>
      <c r="H28" s="20" t="s">
        <v>17</v>
      </c>
    </row>
    <row r="29" spans="1:9" ht="18.600000000000001" customHeight="1" thickBot="1" x14ac:dyDescent="0.25">
      <c r="A29" s="476" t="str">
        <f>'CUADR 2'!C13</f>
        <v>CUADRILLA no.2 ALBAÑILERIA (0.2 DE CABO DE OF. +  1 OF. ALBAÑIL + 1  AY. OFICIALES)</v>
      </c>
      <c r="B29" s="476"/>
      <c r="C29" s="252" t="s">
        <v>63</v>
      </c>
      <c r="D29" s="116">
        <f>'CUADR 2'!H48</f>
        <v>1525.2612521082979</v>
      </c>
      <c r="E29" s="246">
        <v>1</v>
      </c>
      <c r="F29" s="270">
        <f>D29*E29</f>
        <v>1525.2612521082979</v>
      </c>
      <c r="G29" s="253">
        <v>18</v>
      </c>
      <c r="H29" s="271">
        <f>F29/G29</f>
        <v>84.736736228238769</v>
      </c>
    </row>
    <row r="30" spans="1:9" ht="18.600000000000001" customHeight="1" thickBot="1" x14ac:dyDescent="0.25">
      <c r="A30" s="479" t="str">
        <f>'CUADR 3'!C13</f>
        <v>CUADRILLA no.3 AISLAMIENTOS  (0.3 DE CABO DE OF  1 OF.  AISLADOR  + 2 AYUD OFICIAL.)</v>
      </c>
      <c r="B30" s="480"/>
      <c r="C30" s="252" t="s">
        <v>63</v>
      </c>
      <c r="D30" s="116">
        <f>'CUADR 3'!H48</f>
        <v>2253.5629213639095</v>
      </c>
      <c r="E30" s="266">
        <v>1</v>
      </c>
      <c r="F30" s="270">
        <f>D30*E30</f>
        <v>2253.5629213639095</v>
      </c>
      <c r="G30" s="268">
        <v>18</v>
      </c>
      <c r="H30" s="271">
        <f>F30/G30</f>
        <v>125.19794007577275</v>
      </c>
    </row>
    <row r="31" spans="1:9" ht="23.1" customHeight="1" thickBot="1" x14ac:dyDescent="0.25">
      <c r="A31" s="477" t="str">
        <f>'CUADR 1'!C13</f>
        <v>CUADRILLA no.1 PINTURA (0.2 DE CABO DE OF. + 1 OF.  PINTORES + 1 AYUD. OFICIAL )</v>
      </c>
      <c r="B31" s="478"/>
      <c r="C31" s="264" t="s">
        <v>63</v>
      </c>
      <c r="D31" s="265">
        <f>'CUADR 1'!H48</f>
        <v>1525.2612521082979</v>
      </c>
      <c r="E31" s="266">
        <v>1</v>
      </c>
      <c r="F31" s="267">
        <f>D31*E31</f>
        <v>1525.2612521082979</v>
      </c>
      <c r="G31" s="268">
        <v>18</v>
      </c>
      <c r="H31" s="269">
        <f>F31/G31</f>
        <v>84.736736228238769</v>
      </c>
    </row>
    <row r="32" spans="1:9" ht="12" customHeight="1" thickBot="1" x14ac:dyDescent="0.25">
      <c r="A32" s="14"/>
      <c r="B32" s="15"/>
      <c r="C32" s="15"/>
      <c r="D32" s="15"/>
      <c r="E32" s="9"/>
      <c r="F32" s="12" t="s">
        <v>18</v>
      </c>
      <c r="G32" s="5"/>
      <c r="H32" s="16">
        <f>SUM(H29:H31)</f>
        <v>294.67141253225032</v>
      </c>
    </row>
    <row r="33" spans="1:9" ht="12" customHeight="1" thickTop="1" thickBot="1" x14ac:dyDescent="0.25">
      <c r="A33" s="309" t="s">
        <v>19</v>
      </c>
      <c r="B33" s="310"/>
      <c r="C33" s="310"/>
      <c r="D33" s="310"/>
      <c r="E33" s="85"/>
      <c r="F33" s="85"/>
      <c r="G33" s="85"/>
      <c r="H33" s="86"/>
    </row>
    <row r="34" spans="1:9" ht="12" customHeight="1" thickBot="1" x14ac:dyDescent="0.25">
      <c r="A34" s="311" t="s">
        <v>7</v>
      </c>
      <c r="B34" s="312"/>
      <c r="C34" s="312"/>
      <c r="D34" s="313"/>
      <c r="E34" s="87" t="s">
        <v>0</v>
      </c>
      <c r="F34" s="87" t="s">
        <v>20</v>
      </c>
      <c r="G34" s="87" t="s">
        <v>21</v>
      </c>
      <c r="H34" s="88" t="s">
        <v>22</v>
      </c>
    </row>
    <row r="35" spans="1:9" ht="12" customHeight="1" thickTop="1" thickBot="1" x14ac:dyDescent="0.25">
      <c r="A35" s="314" t="str">
        <f>EQUIPOS!C4</f>
        <v>ANDAMIOS CON CANASTILLA Y GUINDOLA</v>
      </c>
      <c r="B35" s="315"/>
      <c r="C35" s="315"/>
      <c r="D35" s="315"/>
      <c r="E35" s="218" t="str">
        <f>EQUIPOS!D4</f>
        <v>HORA</v>
      </c>
      <c r="F35" s="263">
        <f>EQUIPOS!G4</f>
        <v>54.556685000000002</v>
      </c>
      <c r="G35" s="219">
        <v>2</v>
      </c>
      <c r="H35" s="60">
        <f>F35/G35</f>
        <v>27.278342500000001</v>
      </c>
      <c r="I35" s="109"/>
    </row>
    <row r="36" spans="1:9" ht="24" customHeight="1" thickTop="1" thickBot="1" x14ac:dyDescent="0.25">
      <c r="A36" s="314" t="str">
        <f>EQUIPOS!C5</f>
        <v>CAMION DOBLE RODADA CHEVROLET SILVERADO CON PLATAFORMA DE REDILAS CARGA HASTA 2 1/2 TON.</v>
      </c>
      <c r="B36" s="315"/>
      <c r="C36" s="315"/>
      <c r="D36" s="315"/>
      <c r="E36" s="218" t="str">
        <f>EQUIPOS!D5</f>
        <v>HORA</v>
      </c>
      <c r="F36" s="263">
        <f>EQUIPOS!G5</f>
        <v>567.42003099999999</v>
      </c>
      <c r="G36" s="219">
        <v>36</v>
      </c>
      <c r="H36" s="60">
        <f t="shared" ref="H36" si="1">F36/G36</f>
        <v>15.761667527777778</v>
      </c>
      <c r="I36" s="109"/>
    </row>
    <row r="37" spans="1:9" ht="12" customHeight="1" thickBot="1" x14ac:dyDescent="0.25">
      <c r="A37" s="17"/>
      <c r="B37" s="18"/>
      <c r="C37" s="18"/>
      <c r="D37" s="18"/>
      <c r="E37" s="6"/>
      <c r="F37" s="117" t="s">
        <v>23</v>
      </c>
      <c r="G37" s="87"/>
      <c r="H37" s="217">
        <f>SUM(H35:H36)</f>
        <v>43.040010027777782</v>
      </c>
      <c r="I37" s="109"/>
    </row>
    <row r="38" spans="1:9" ht="12" customHeight="1" thickTop="1" thickBot="1" x14ac:dyDescent="0.25">
      <c r="A38" s="300" t="s">
        <v>24</v>
      </c>
      <c r="B38" s="301"/>
      <c r="C38" s="301"/>
      <c r="D38" s="301"/>
      <c r="E38" s="3"/>
      <c r="F38" s="3"/>
      <c r="G38" s="3"/>
      <c r="H38" s="4"/>
    </row>
    <row r="39" spans="1:9" ht="12" customHeight="1" thickTop="1" thickBot="1" x14ac:dyDescent="0.25">
      <c r="A39" s="316" t="s">
        <v>25</v>
      </c>
      <c r="B39" s="317"/>
      <c r="C39" s="19"/>
      <c r="D39" s="19"/>
      <c r="E39" s="20"/>
      <c r="F39" s="21" t="s">
        <v>26</v>
      </c>
      <c r="G39" s="6" t="s">
        <v>27</v>
      </c>
      <c r="H39" s="6" t="s">
        <v>28</v>
      </c>
    </row>
    <row r="40" spans="1:9" ht="12" customHeight="1" thickTop="1" thickBot="1" x14ac:dyDescent="0.25">
      <c r="A40" s="17"/>
      <c r="B40" s="18"/>
      <c r="C40" s="18"/>
      <c r="D40" s="18"/>
      <c r="E40" s="6"/>
      <c r="F40" s="244">
        <f>SOBRECOSTOS!E13</f>
        <v>3.6666666666666667E-2</v>
      </c>
      <c r="G40" s="78">
        <f>+H32</f>
        <v>294.67141253225032</v>
      </c>
      <c r="H40" s="69">
        <f>+F40*G40</f>
        <v>10.804618459515845</v>
      </c>
      <c r="I40" s="110"/>
    </row>
    <row r="41" spans="1:9" ht="12" customHeight="1" thickTop="1" thickBot="1" x14ac:dyDescent="0.25">
      <c r="A41" s="298" t="s">
        <v>29</v>
      </c>
      <c r="B41" s="299"/>
      <c r="C41" s="22"/>
      <c r="D41" s="22"/>
      <c r="E41" s="23"/>
      <c r="F41" s="79" t="s">
        <v>30</v>
      </c>
      <c r="G41" s="80" t="s">
        <v>27</v>
      </c>
      <c r="H41" s="81" t="s">
        <v>31</v>
      </c>
      <c r="I41" s="111"/>
    </row>
    <row r="42" spans="1:9" ht="12" customHeight="1" thickBot="1" x14ac:dyDescent="0.25">
      <c r="A42" s="13"/>
      <c r="B42" s="12"/>
      <c r="C42" s="12"/>
      <c r="D42" s="12"/>
      <c r="E42" s="5"/>
      <c r="F42" s="245">
        <f>SOBRECOSTOS!E14</f>
        <v>3.3333333333333333E-2</v>
      </c>
      <c r="G42" s="76">
        <f>+H32</f>
        <v>294.67141253225032</v>
      </c>
      <c r="H42" s="75">
        <f>+F42*G42</f>
        <v>9.8223804177416767</v>
      </c>
      <c r="I42" s="110"/>
    </row>
    <row r="43" spans="1:9" ht="12" customHeight="1" thickTop="1" thickBot="1" x14ac:dyDescent="0.25">
      <c r="A43" s="10"/>
      <c r="B43" s="7"/>
      <c r="C43" s="7"/>
      <c r="D43" s="7"/>
      <c r="E43" s="8"/>
      <c r="F43" s="18" t="s">
        <v>32</v>
      </c>
      <c r="G43" s="6"/>
      <c r="H43" s="16">
        <f>+H40+H42</f>
        <v>20.62699887725752</v>
      </c>
      <c r="I43" s="110"/>
    </row>
    <row r="44" spans="1:9" ht="12" customHeight="1" thickTop="1" thickBot="1" x14ac:dyDescent="0.25">
      <c r="A44" s="291" t="s">
        <v>33</v>
      </c>
      <c r="B44" s="292"/>
      <c r="C44" s="292"/>
      <c r="D44" s="292"/>
      <c r="E44" s="292"/>
      <c r="F44" s="292"/>
      <c r="G44" s="6"/>
      <c r="H44" s="16">
        <f>+H26+H32+H37+H43</f>
        <v>1418.0764923612855</v>
      </c>
      <c r="I44" s="108"/>
    </row>
    <row r="45" spans="1:9" ht="12" customHeight="1" thickTop="1" thickBot="1" x14ac:dyDescent="0.25">
      <c r="A45" s="24"/>
      <c r="B45" s="25"/>
      <c r="C45" s="25"/>
      <c r="D45" s="25"/>
      <c r="E45" s="25"/>
      <c r="F45" s="25"/>
      <c r="G45" s="25"/>
      <c r="H45" s="25"/>
    </row>
    <row r="46" spans="1:9" ht="12" customHeight="1" thickTop="1" thickBot="1" x14ac:dyDescent="0.25">
      <c r="A46" s="293" t="s">
        <v>34</v>
      </c>
      <c r="B46" s="294"/>
      <c r="C46" s="294"/>
      <c r="D46" s="26"/>
      <c r="E46" s="26"/>
      <c r="F46" s="2"/>
      <c r="G46" s="2" t="s">
        <v>4</v>
      </c>
      <c r="H46" s="2" t="s">
        <v>2</v>
      </c>
    </row>
    <row r="47" spans="1:9" ht="12" customHeight="1" thickTop="1" thickBot="1" x14ac:dyDescent="0.25">
      <c r="A47" s="295" t="s">
        <v>35</v>
      </c>
      <c r="B47" s="296"/>
      <c r="C47" s="296"/>
      <c r="D47" s="296"/>
      <c r="E47" s="27"/>
      <c r="F47" s="28"/>
      <c r="G47" s="29">
        <f>SOBRECOSTOS!E9</f>
        <v>0.21278866666666665</v>
      </c>
      <c r="H47" s="30">
        <f>+G47*H44</f>
        <v>301.75060604090146</v>
      </c>
    </row>
    <row r="48" spans="1:9" ht="12" customHeight="1" thickTop="1" thickBot="1" x14ac:dyDescent="0.25">
      <c r="A48" s="295" t="s">
        <v>36</v>
      </c>
      <c r="B48" s="296"/>
      <c r="C48" s="296"/>
      <c r="D48" s="296"/>
      <c r="E48" s="296"/>
      <c r="F48" s="297"/>
      <c r="G48" s="29">
        <f>SOBRECOSTOS!E10</f>
        <v>1.0568333333333334E-2</v>
      </c>
      <c r="H48" s="30">
        <f>(H44+H47)*G48</f>
        <v>18.17570605161378</v>
      </c>
    </row>
    <row r="49" spans="1:9" ht="12" customHeight="1" thickTop="1" thickBot="1" x14ac:dyDescent="0.25">
      <c r="A49" s="295" t="s">
        <v>37</v>
      </c>
      <c r="B49" s="296"/>
      <c r="C49" s="296"/>
      <c r="D49" s="296"/>
      <c r="E49" s="296"/>
      <c r="F49" s="297"/>
      <c r="G49" s="29">
        <f>SOBRECOSTOS!E11</f>
        <v>9.3333333333333338E-2</v>
      </c>
      <c r="H49" s="30">
        <f>(H44+H47+H48)*G49</f>
        <v>162.21359508235474</v>
      </c>
    </row>
    <row r="50" spans="1:9" ht="12" customHeight="1" thickTop="1" thickBot="1" x14ac:dyDescent="0.25">
      <c r="A50" s="295" t="s">
        <v>38</v>
      </c>
      <c r="B50" s="296"/>
      <c r="C50" s="296"/>
      <c r="D50" s="296"/>
      <c r="E50" s="296"/>
      <c r="F50" s="297"/>
      <c r="G50" s="29">
        <f>SOBRECOSTOS!E12</f>
        <v>8.0053333333333331E-3</v>
      </c>
      <c r="H50" s="30">
        <f>(H44+H47+H48+H49)*G50</f>
        <v>15.211865683753436</v>
      </c>
    </row>
    <row r="51" spans="1:9" ht="12" customHeight="1" thickTop="1" thickBot="1" x14ac:dyDescent="0.25">
      <c r="A51" s="286" t="s">
        <v>5</v>
      </c>
      <c r="B51" s="287"/>
      <c r="C51" s="31"/>
      <c r="D51" s="31"/>
      <c r="E51" s="31"/>
      <c r="F51" s="31"/>
      <c r="G51" s="31"/>
      <c r="H51" s="32"/>
    </row>
    <row r="52" spans="1:9" ht="18" customHeight="1" thickTop="1" thickBot="1" x14ac:dyDescent="0.25">
      <c r="A52" s="288" t="s">
        <v>39</v>
      </c>
      <c r="B52" s="289"/>
      <c r="C52" s="289"/>
      <c r="D52" s="289"/>
      <c r="E52" s="289"/>
      <c r="F52" s="289"/>
      <c r="G52" s="290"/>
      <c r="H52" s="58">
        <f>SUM(H47:H50)+H44</f>
        <v>1915.428265219909</v>
      </c>
      <c r="I52" s="45"/>
    </row>
    <row r="53" spans="1:9" ht="13.5" thickTop="1" x14ac:dyDescent="0.2"/>
  </sheetData>
  <mergeCells count="44">
    <mergeCell ref="A1:B5"/>
    <mergeCell ref="C1:E1"/>
    <mergeCell ref="D2:G2"/>
    <mergeCell ref="C3:E3"/>
    <mergeCell ref="C4:C5"/>
    <mergeCell ref="D4:G5"/>
    <mergeCell ref="A6:C9"/>
    <mergeCell ref="D6:F9"/>
    <mergeCell ref="G6:H9"/>
    <mergeCell ref="A10:G11"/>
    <mergeCell ref="B13:B14"/>
    <mergeCell ref="C13:F14"/>
    <mergeCell ref="A26:E26"/>
    <mergeCell ref="A15:B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41:B41"/>
    <mergeCell ref="A27:B27"/>
    <mergeCell ref="A28:B28"/>
    <mergeCell ref="A29:B29"/>
    <mergeCell ref="A30:B30"/>
    <mergeCell ref="A31:B31"/>
    <mergeCell ref="A33:D33"/>
    <mergeCell ref="A34:D34"/>
    <mergeCell ref="A35:D35"/>
    <mergeCell ref="A36:D36"/>
    <mergeCell ref="A38:D38"/>
    <mergeCell ref="A39:B39"/>
    <mergeCell ref="A51:B51"/>
    <mergeCell ref="A52:G52"/>
    <mergeCell ref="A44:F44"/>
    <mergeCell ref="A46:C46"/>
    <mergeCell ref="A47:D47"/>
    <mergeCell ref="A48:F48"/>
    <mergeCell ref="A49:F49"/>
    <mergeCell ref="A50:F50"/>
  </mergeCells>
  <printOptions horizontalCentered="1" verticalCentered="1"/>
  <pageMargins left="0.43307086614173229" right="0.35433070866141736" top="0.41" bottom="0.42" header="0.33" footer="0.36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29DB-C4C9-46D2-805A-C4A5EB231EEA}">
  <sheetPr>
    <tabColor rgb="FF00B050"/>
    <pageSetUpPr fitToPage="1"/>
  </sheetPr>
  <dimension ref="A1:I53"/>
  <sheetViews>
    <sheetView topLeftCell="A22" zoomScale="90" zoomScaleNormal="90" workbookViewId="0">
      <selection activeCell="G26" sqref="G26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  <col min="9" max="9" width="11.42578125" style="44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204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202</v>
      </c>
    </row>
    <row r="12" spans="1:8" ht="4.5" customHeight="1" thickTop="1" thickBot="1" x14ac:dyDescent="0.25"/>
    <row r="13" spans="1:8" ht="18.75" customHeight="1" thickTop="1" thickBot="1" x14ac:dyDescent="0.25">
      <c r="A13" s="119" t="s">
        <v>259</v>
      </c>
      <c r="B13" s="338" t="s">
        <v>6</v>
      </c>
      <c r="C13" s="340" t="s">
        <v>252</v>
      </c>
      <c r="D13" s="340"/>
      <c r="E13" s="340"/>
      <c r="F13" s="341"/>
      <c r="G13" s="54" t="s">
        <v>0</v>
      </c>
      <c r="H13" s="54" t="s">
        <v>45</v>
      </c>
    </row>
    <row r="14" spans="1:8" ht="15.75" customHeight="1" thickBot="1" x14ac:dyDescent="0.25">
      <c r="A14" s="118" t="s">
        <v>240</v>
      </c>
      <c r="B14" s="339"/>
      <c r="C14" s="342"/>
      <c r="D14" s="342"/>
      <c r="E14" s="342"/>
      <c r="F14" s="343"/>
      <c r="G14" s="55" t="s">
        <v>1</v>
      </c>
      <c r="H14" s="57"/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9" ht="14.25" customHeight="1" thickTop="1" thickBot="1" x14ac:dyDescent="0.25">
      <c r="A17" s="376" t="str">
        <f>Materiales!B4</f>
        <v>ALMBRE GALVANIZADO CAL. 18</v>
      </c>
      <c r="B17" s="377"/>
      <c r="C17" s="377"/>
      <c r="D17" s="377"/>
      <c r="E17" s="61" t="str">
        <f>Materiales!C4</f>
        <v>KG</v>
      </c>
      <c r="F17" s="120">
        <f>Materiales!F4</f>
        <v>97.195301999999998</v>
      </c>
      <c r="G17" s="216">
        <v>4.3999999999999997E-2</v>
      </c>
      <c r="H17" s="62">
        <f t="shared" ref="H17:H25" si="0">+F17*G17</f>
        <v>4.2765932879999999</v>
      </c>
      <c r="I17" s="108"/>
    </row>
    <row r="18" spans="1:9" ht="14.25" customHeight="1" thickTop="1" thickBot="1" x14ac:dyDescent="0.25">
      <c r="A18" s="376" t="str">
        <f>Materiales!B5</f>
        <v>PRIMARIO ANTICORROSIVO CFE-P34</v>
      </c>
      <c r="B18" s="377"/>
      <c r="C18" s="377"/>
      <c r="D18" s="377"/>
      <c r="E18" s="61" t="str">
        <f>Materiales!C5</f>
        <v>L</v>
      </c>
      <c r="F18" s="120">
        <f>Materiales!F5</f>
        <v>392.411541</v>
      </c>
      <c r="G18" s="228">
        <v>0.12</v>
      </c>
      <c r="H18" s="62">
        <f t="shared" si="0"/>
        <v>47.089384920000001</v>
      </c>
      <c r="I18" s="108"/>
    </row>
    <row r="19" spans="1:9" ht="14.25" customHeight="1" thickTop="1" thickBot="1" x14ac:dyDescent="0.25">
      <c r="A19" s="376" t="str">
        <f>Materiales!B6</f>
        <v>SOLVENTE CATALIZADOR CFE-P34</v>
      </c>
      <c r="B19" s="377"/>
      <c r="C19" s="377"/>
      <c r="D19" s="377"/>
      <c r="E19" s="61" t="str">
        <f>Materiales!C6</f>
        <v>L</v>
      </c>
      <c r="F19" s="120">
        <f>Materiales!F6</f>
        <v>122.02800000000001</v>
      </c>
      <c r="G19" s="228">
        <v>0.08</v>
      </c>
      <c r="H19" s="62">
        <f t="shared" si="0"/>
        <v>9.7622400000000003</v>
      </c>
      <c r="I19" s="108"/>
    </row>
    <row r="20" spans="1:9" ht="14.25" customHeight="1" thickTop="1" thickBot="1" x14ac:dyDescent="0.25">
      <c r="A20" s="376" t="str">
        <f>Materiales!B10</f>
        <v>BROCHA DE 2"</v>
      </c>
      <c r="B20" s="377"/>
      <c r="C20" s="377"/>
      <c r="D20" s="377"/>
      <c r="E20" s="61" t="str">
        <f>Materiales!C10</f>
        <v>PZA</v>
      </c>
      <c r="F20" s="120">
        <f>Materiales!F10</f>
        <v>63.556249999999999</v>
      </c>
      <c r="G20" s="228">
        <v>0.1</v>
      </c>
      <c r="H20" s="62">
        <f t="shared" si="0"/>
        <v>6.3556249999999999</v>
      </c>
      <c r="I20" s="108"/>
    </row>
    <row r="21" spans="1:9" ht="21" customHeight="1" thickTop="1" thickBot="1" x14ac:dyDescent="0.25">
      <c r="A21" s="376" t="str">
        <f>Materiales!B12</f>
        <v>COLCHA ARMADA DE LANA MINERAL DE 2´X8´X4" DE ESPESOR CON UNA DENSIDAD DE 12 LBR/PIES</v>
      </c>
      <c r="B21" s="377"/>
      <c r="C21" s="377"/>
      <c r="D21" s="377"/>
      <c r="E21" s="61" t="str">
        <f>Materiales!C12</f>
        <v>M2</v>
      </c>
      <c r="F21" s="120">
        <f>Materiales!F12</f>
        <v>957.15712499999995</v>
      </c>
      <c r="G21" s="228">
        <v>1</v>
      </c>
      <c r="H21" s="62">
        <f t="shared" si="0"/>
        <v>957.15712499999995</v>
      </c>
      <c r="I21" s="108"/>
    </row>
    <row r="22" spans="1:9" ht="14.25" customHeight="1" thickTop="1" thickBot="1" x14ac:dyDescent="0.25">
      <c r="A22" s="376" t="str">
        <f>Materiales!B13</f>
        <v>CEMENTO MONOLITICO</v>
      </c>
      <c r="B22" s="377"/>
      <c r="C22" s="377"/>
      <c r="D22" s="377"/>
      <c r="E22" s="61" t="str">
        <f>Materiales!C13</f>
        <v>KG</v>
      </c>
      <c r="F22" s="120">
        <f>Materiales!F13</f>
        <v>14.490824999999999</v>
      </c>
      <c r="G22" s="228">
        <v>7.5</v>
      </c>
      <c r="H22" s="62">
        <f t="shared" si="0"/>
        <v>108.68118749999999</v>
      </c>
      <c r="I22" s="108"/>
    </row>
    <row r="23" spans="1:9" ht="14.25" customHeight="1" thickTop="1" thickBot="1" x14ac:dyDescent="0.25">
      <c r="A23" s="376" t="str">
        <f>Materiales!B14</f>
        <v>IMPERMEABILIZANTE HI MASTIC</v>
      </c>
      <c r="B23" s="377"/>
      <c r="C23" s="377"/>
      <c r="D23" s="377"/>
      <c r="E23" s="61" t="str">
        <f>Materiales!C14</f>
        <v>L</v>
      </c>
      <c r="F23" s="120">
        <f>Materiales!F14</f>
        <v>96.971583999999993</v>
      </c>
      <c r="G23" s="228">
        <v>0.3</v>
      </c>
      <c r="H23" s="62">
        <f t="shared" si="0"/>
        <v>29.091475199999998</v>
      </c>
      <c r="I23" s="108"/>
    </row>
    <row r="24" spans="1:9" ht="14.25" customHeight="1" thickTop="1" thickBot="1" x14ac:dyDescent="0.25">
      <c r="A24" s="376" t="str">
        <f>Materiales!B18</f>
        <v>P31 RECUBRIMIENTO PARA ALTAS TEMPERATURAS COLOR ALUMINIO</v>
      </c>
      <c r="B24" s="377"/>
      <c r="C24" s="377"/>
      <c r="D24" s="377"/>
      <c r="E24" s="61" t="str">
        <f>Materiales!C18</f>
        <v>L</v>
      </c>
      <c r="F24" s="120">
        <f>Materiales!F18</f>
        <v>638</v>
      </c>
      <c r="G24" s="228">
        <v>0.25</v>
      </c>
      <c r="H24" s="62">
        <f t="shared" si="0"/>
        <v>159.5</v>
      </c>
      <c r="I24" s="108"/>
    </row>
    <row r="25" spans="1:9" ht="14.25" customHeight="1" thickTop="1" thickBot="1" x14ac:dyDescent="0.25">
      <c r="A25" s="376" t="str">
        <f>Materiales!B19</f>
        <v>ADELGAZADOR PARA CFE-P31</v>
      </c>
      <c r="B25" s="377"/>
      <c r="C25" s="377"/>
      <c r="D25" s="377"/>
      <c r="E25" s="61" t="str">
        <f>Materiales!C19</f>
        <v>L</v>
      </c>
      <c r="F25" s="120">
        <f>Materiales!F19</f>
        <v>100.2</v>
      </c>
      <c r="G25" s="228">
        <v>0.08</v>
      </c>
      <c r="H25" s="62">
        <f t="shared" si="0"/>
        <v>8.016</v>
      </c>
      <c r="I25" s="108"/>
    </row>
    <row r="26" spans="1:9" ht="12" customHeight="1" thickBot="1" x14ac:dyDescent="0.25">
      <c r="A26" s="318"/>
      <c r="B26" s="319"/>
      <c r="C26" s="319"/>
      <c r="D26" s="319"/>
      <c r="E26" s="320"/>
      <c r="F26" s="65" t="s">
        <v>11</v>
      </c>
      <c r="G26" s="11"/>
      <c r="H26" s="66">
        <f>SUM(H17:H25)</f>
        <v>1329.9296309080003</v>
      </c>
      <c r="I26" s="108"/>
    </row>
    <row r="27" spans="1:9" ht="12" customHeight="1" thickTop="1" thickBot="1" x14ac:dyDescent="0.25">
      <c r="A27" s="300" t="s">
        <v>3</v>
      </c>
      <c r="B27" s="301"/>
      <c r="C27" s="3"/>
      <c r="D27" s="3"/>
      <c r="E27" s="3"/>
      <c r="F27" s="85"/>
      <c r="G27" s="3"/>
      <c r="H27" s="4"/>
    </row>
    <row r="28" spans="1:9" ht="12" customHeight="1" thickTop="1" thickBot="1" x14ac:dyDescent="0.25">
      <c r="A28" s="302" t="s">
        <v>12</v>
      </c>
      <c r="B28" s="303"/>
      <c r="C28" s="23" t="s">
        <v>0</v>
      </c>
      <c r="D28" s="20" t="s">
        <v>13</v>
      </c>
      <c r="E28" s="22" t="s">
        <v>14</v>
      </c>
      <c r="F28" s="80" t="s">
        <v>15</v>
      </c>
      <c r="G28" s="23" t="s">
        <v>16</v>
      </c>
      <c r="H28" s="20" t="s">
        <v>17</v>
      </c>
    </row>
    <row r="29" spans="1:9" ht="18.600000000000001" customHeight="1" thickBot="1" x14ac:dyDescent="0.25">
      <c r="A29" s="476" t="str">
        <f>'CUADR 2'!C13</f>
        <v>CUADRILLA no.2 ALBAÑILERIA (0.2 DE CABO DE OF. +  1 OF. ALBAÑIL + 1  AY. OFICIALES)</v>
      </c>
      <c r="B29" s="476"/>
      <c r="C29" s="252" t="s">
        <v>63</v>
      </c>
      <c r="D29" s="116">
        <f>'CUADR 2'!H48</f>
        <v>1525.2612521082979</v>
      </c>
      <c r="E29" s="246">
        <v>1</v>
      </c>
      <c r="F29" s="270">
        <f>D29*E29</f>
        <v>1525.2612521082979</v>
      </c>
      <c r="G29" s="253">
        <v>16</v>
      </c>
      <c r="H29" s="271">
        <f>F29/G29</f>
        <v>95.328828256768617</v>
      </c>
    </row>
    <row r="30" spans="1:9" ht="18.600000000000001" customHeight="1" thickBot="1" x14ac:dyDescent="0.25">
      <c r="A30" s="479" t="str">
        <f>'CUADR 3'!C13</f>
        <v>CUADRILLA no.3 AISLAMIENTOS  (0.3 DE CABO DE OF  1 OF.  AISLADOR  + 2 AYUD OFICIAL.)</v>
      </c>
      <c r="B30" s="480"/>
      <c r="C30" s="252" t="s">
        <v>63</v>
      </c>
      <c r="D30" s="116">
        <f>'CUADR 3'!H48</f>
        <v>2253.5629213639095</v>
      </c>
      <c r="E30" s="266">
        <v>1</v>
      </c>
      <c r="F30" s="270">
        <f>D30*E30</f>
        <v>2253.5629213639095</v>
      </c>
      <c r="G30" s="268">
        <v>16</v>
      </c>
      <c r="H30" s="271">
        <f>F30/G30</f>
        <v>140.84768258524434</v>
      </c>
    </row>
    <row r="31" spans="1:9" ht="23.1" customHeight="1" thickBot="1" x14ac:dyDescent="0.25">
      <c r="A31" s="477" t="str">
        <f>'CUADR 1'!C13</f>
        <v>CUADRILLA no.1 PINTURA (0.2 DE CABO DE OF. + 1 OF.  PINTORES + 1 AYUD. OFICIAL )</v>
      </c>
      <c r="B31" s="478"/>
      <c r="C31" s="264" t="s">
        <v>63</v>
      </c>
      <c r="D31" s="265">
        <f>'CUADR 1'!H48</f>
        <v>1525.2612521082979</v>
      </c>
      <c r="E31" s="266">
        <v>1</v>
      </c>
      <c r="F31" s="267">
        <f>D31*E31</f>
        <v>1525.2612521082979</v>
      </c>
      <c r="G31" s="268">
        <v>16</v>
      </c>
      <c r="H31" s="269">
        <f>F31/G31</f>
        <v>95.328828256768617</v>
      </c>
    </row>
    <row r="32" spans="1:9" ht="12" customHeight="1" thickBot="1" x14ac:dyDescent="0.25">
      <c r="A32" s="14"/>
      <c r="B32" s="15"/>
      <c r="C32" s="15"/>
      <c r="D32" s="15"/>
      <c r="E32" s="9"/>
      <c r="F32" s="12" t="s">
        <v>18</v>
      </c>
      <c r="G32" s="5"/>
      <c r="H32" s="16">
        <f>SUM(H29:H31)</f>
        <v>331.50533909878158</v>
      </c>
    </row>
    <row r="33" spans="1:9" ht="12" customHeight="1" thickTop="1" thickBot="1" x14ac:dyDescent="0.25">
      <c r="A33" s="309" t="s">
        <v>19</v>
      </c>
      <c r="B33" s="310"/>
      <c r="C33" s="310"/>
      <c r="D33" s="310"/>
      <c r="E33" s="85"/>
      <c r="F33" s="85"/>
      <c r="G33" s="85"/>
      <c r="H33" s="86"/>
    </row>
    <row r="34" spans="1:9" ht="12" customHeight="1" thickBot="1" x14ac:dyDescent="0.25">
      <c r="A34" s="311" t="s">
        <v>7</v>
      </c>
      <c r="B34" s="312"/>
      <c r="C34" s="312"/>
      <c r="D34" s="313"/>
      <c r="E34" s="87" t="s">
        <v>0</v>
      </c>
      <c r="F34" s="87" t="s">
        <v>20</v>
      </c>
      <c r="G34" s="87" t="s">
        <v>21</v>
      </c>
      <c r="H34" s="88" t="s">
        <v>22</v>
      </c>
    </row>
    <row r="35" spans="1:9" ht="12" customHeight="1" thickTop="1" thickBot="1" x14ac:dyDescent="0.25">
      <c r="A35" s="314" t="str">
        <f>EQUIPOS!C4</f>
        <v>ANDAMIOS CON CANASTILLA Y GUINDOLA</v>
      </c>
      <c r="B35" s="315"/>
      <c r="C35" s="315"/>
      <c r="D35" s="315"/>
      <c r="E35" s="218" t="str">
        <f>EQUIPOS!D4</f>
        <v>HORA</v>
      </c>
      <c r="F35" s="263">
        <f>EQUIPOS!G4</f>
        <v>54.556685000000002</v>
      </c>
      <c r="G35" s="219">
        <v>2</v>
      </c>
      <c r="H35" s="60">
        <f>F35/G35</f>
        <v>27.278342500000001</v>
      </c>
      <c r="I35" s="109"/>
    </row>
    <row r="36" spans="1:9" ht="24" customHeight="1" thickTop="1" thickBot="1" x14ac:dyDescent="0.25">
      <c r="A36" s="314" t="str">
        <f>EQUIPOS!C5</f>
        <v>CAMION DOBLE RODADA CHEVROLET SILVERADO CON PLATAFORMA DE REDILAS CARGA HASTA 2 1/2 TON.</v>
      </c>
      <c r="B36" s="315"/>
      <c r="C36" s="315"/>
      <c r="D36" s="315"/>
      <c r="E36" s="218" t="str">
        <f>EQUIPOS!D5</f>
        <v>HORA</v>
      </c>
      <c r="F36" s="263">
        <f>EQUIPOS!G5</f>
        <v>567.42003099999999</v>
      </c>
      <c r="G36" s="219">
        <v>36</v>
      </c>
      <c r="H36" s="60">
        <f t="shared" ref="H36" si="1">F36/G36</f>
        <v>15.761667527777778</v>
      </c>
      <c r="I36" s="109"/>
    </row>
    <row r="37" spans="1:9" ht="12" customHeight="1" thickBot="1" x14ac:dyDescent="0.25">
      <c r="A37" s="17"/>
      <c r="B37" s="18"/>
      <c r="C37" s="18"/>
      <c r="D37" s="18"/>
      <c r="E37" s="6"/>
      <c r="F37" s="117" t="s">
        <v>23</v>
      </c>
      <c r="G37" s="87"/>
      <c r="H37" s="217">
        <f>SUM(H35:H36)</f>
        <v>43.040010027777782</v>
      </c>
      <c r="I37" s="109"/>
    </row>
    <row r="38" spans="1:9" ht="12" customHeight="1" thickTop="1" thickBot="1" x14ac:dyDescent="0.25">
      <c r="A38" s="300" t="s">
        <v>24</v>
      </c>
      <c r="B38" s="301"/>
      <c r="C38" s="301"/>
      <c r="D38" s="301"/>
      <c r="E38" s="3"/>
      <c r="F38" s="3"/>
      <c r="G38" s="3"/>
      <c r="H38" s="4"/>
    </row>
    <row r="39" spans="1:9" ht="12" customHeight="1" thickTop="1" thickBot="1" x14ac:dyDescent="0.25">
      <c r="A39" s="316" t="s">
        <v>25</v>
      </c>
      <c r="B39" s="317"/>
      <c r="C39" s="19"/>
      <c r="D39" s="19"/>
      <c r="E39" s="20"/>
      <c r="F39" s="21" t="s">
        <v>26</v>
      </c>
      <c r="G39" s="6" t="s">
        <v>27</v>
      </c>
      <c r="H39" s="6" t="s">
        <v>28</v>
      </c>
    </row>
    <row r="40" spans="1:9" ht="12" customHeight="1" thickTop="1" thickBot="1" x14ac:dyDescent="0.25">
      <c r="A40" s="17"/>
      <c r="B40" s="18"/>
      <c r="C40" s="18"/>
      <c r="D40" s="18"/>
      <c r="E40" s="6"/>
      <c r="F40" s="244">
        <f>SOBRECOSTOS!E13</f>
        <v>3.6666666666666667E-2</v>
      </c>
      <c r="G40" s="78">
        <f>+H32</f>
        <v>331.50533909878158</v>
      </c>
      <c r="H40" s="69">
        <f>+F40*G40</f>
        <v>12.155195766955325</v>
      </c>
      <c r="I40" s="110"/>
    </row>
    <row r="41" spans="1:9" ht="12" customHeight="1" thickTop="1" thickBot="1" x14ac:dyDescent="0.25">
      <c r="A41" s="298" t="s">
        <v>29</v>
      </c>
      <c r="B41" s="299"/>
      <c r="C41" s="22"/>
      <c r="D41" s="22"/>
      <c r="E41" s="23"/>
      <c r="F41" s="79" t="s">
        <v>30</v>
      </c>
      <c r="G41" s="80" t="s">
        <v>27</v>
      </c>
      <c r="H41" s="81" t="s">
        <v>31</v>
      </c>
      <c r="I41" s="111"/>
    </row>
    <row r="42" spans="1:9" ht="12" customHeight="1" thickBot="1" x14ac:dyDescent="0.25">
      <c r="A42" s="13"/>
      <c r="B42" s="12"/>
      <c r="C42" s="12"/>
      <c r="D42" s="12"/>
      <c r="E42" s="5"/>
      <c r="F42" s="245">
        <f>SOBRECOSTOS!E14</f>
        <v>3.3333333333333333E-2</v>
      </c>
      <c r="G42" s="76">
        <f>+H32</f>
        <v>331.50533909878158</v>
      </c>
      <c r="H42" s="75">
        <f>+F42*G42</f>
        <v>11.050177969959385</v>
      </c>
      <c r="I42" s="110"/>
    </row>
    <row r="43" spans="1:9" ht="12" customHeight="1" thickTop="1" thickBot="1" x14ac:dyDescent="0.25">
      <c r="A43" s="10"/>
      <c r="B43" s="7"/>
      <c r="C43" s="7"/>
      <c r="D43" s="7"/>
      <c r="E43" s="8"/>
      <c r="F43" s="18" t="s">
        <v>32</v>
      </c>
      <c r="G43" s="6"/>
      <c r="H43" s="16">
        <f>+H40+H42</f>
        <v>23.205373736914709</v>
      </c>
      <c r="I43" s="110"/>
    </row>
    <row r="44" spans="1:9" ht="12" customHeight="1" thickTop="1" thickBot="1" x14ac:dyDescent="0.25">
      <c r="A44" s="291" t="s">
        <v>33</v>
      </c>
      <c r="B44" s="292"/>
      <c r="C44" s="292"/>
      <c r="D44" s="292"/>
      <c r="E44" s="292"/>
      <c r="F44" s="292"/>
      <c r="G44" s="6"/>
      <c r="H44" s="16">
        <f>+H26+H32+H37+H43</f>
        <v>1727.6803537714743</v>
      </c>
      <c r="I44" s="108"/>
    </row>
    <row r="45" spans="1:9" ht="12" customHeight="1" thickTop="1" thickBot="1" x14ac:dyDescent="0.25">
      <c r="A45" s="24"/>
      <c r="B45" s="25"/>
      <c r="C45" s="25"/>
      <c r="D45" s="25"/>
      <c r="E45" s="25"/>
      <c r="F45" s="25"/>
      <c r="G45" s="25"/>
      <c r="H45" s="25"/>
    </row>
    <row r="46" spans="1:9" ht="12" customHeight="1" thickTop="1" thickBot="1" x14ac:dyDescent="0.25">
      <c r="A46" s="293" t="s">
        <v>34</v>
      </c>
      <c r="B46" s="294"/>
      <c r="C46" s="294"/>
      <c r="D46" s="26"/>
      <c r="E46" s="26"/>
      <c r="F46" s="2"/>
      <c r="G46" s="2" t="s">
        <v>4</v>
      </c>
      <c r="H46" s="2" t="s">
        <v>2</v>
      </c>
    </row>
    <row r="47" spans="1:9" ht="12" customHeight="1" thickTop="1" thickBot="1" x14ac:dyDescent="0.25">
      <c r="A47" s="295" t="s">
        <v>35</v>
      </c>
      <c r="B47" s="296"/>
      <c r="C47" s="296"/>
      <c r="D47" s="296"/>
      <c r="E47" s="27"/>
      <c r="F47" s="28"/>
      <c r="G47" s="29">
        <f>SOBRECOSTOS!E9</f>
        <v>0.21278866666666665</v>
      </c>
      <c r="H47" s="30">
        <f>+G47*H44</f>
        <v>367.63079890522698</v>
      </c>
    </row>
    <row r="48" spans="1:9" ht="12" customHeight="1" thickTop="1" thickBot="1" x14ac:dyDescent="0.25">
      <c r="A48" s="295" t="s">
        <v>36</v>
      </c>
      <c r="B48" s="296"/>
      <c r="C48" s="296"/>
      <c r="D48" s="296"/>
      <c r="E48" s="296"/>
      <c r="F48" s="297"/>
      <c r="G48" s="29">
        <f>SOBRECOSTOS!E10</f>
        <v>1.0568333333333334E-2</v>
      </c>
      <c r="H48" s="30">
        <f>(H44+H47)*G48</f>
        <v>22.143946698538272</v>
      </c>
    </row>
    <row r="49" spans="1:9" ht="12" customHeight="1" thickTop="1" thickBot="1" x14ac:dyDescent="0.25">
      <c r="A49" s="295" t="s">
        <v>37</v>
      </c>
      <c r="B49" s="296"/>
      <c r="C49" s="296"/>
      <c r="D49" s="296"/>
      <c r="E49" s="296"/>
      <c r="F49" s="297"/>
      <c r="G49" s="29">
        <f>SOBRECOSTOS!E11</f>
        <v>9.3333333333333338E-2</v>
      </c>
      <c r="H49" s="30">
        <f>(H44+H47+H48)*G49</f>
        <v>197.62914260835569</v>
      </c>
    </row>
    <row r="50" spans="1:9" ht="12" customHeight="1" thickTop="1" thickBot="1" x14ac:dyDescent="0.25">
      <c r="A50" s="295" t="s">
        <v>38</v>
      </c>
      <c r="B50" s="296"/>
      <c r="C50" s="296"/>
      <c r="D50" s="296"/>
      <c r="E50" s="296"/>
      <c r="F50" s="297"/>
      <c r="G50" s="29">
        <f>SOBRECOSTOS!E12</f>
        <v>8.0053333333333331E-3</v>
      </c>
      <c r="H50" s="30">
        <f>(H44+H47+H48+H49)*G50</f>
        <v>18.533021051826008</v>
      </c>
    </row>
    <row r="51" spans="1:9" ht="12" customHeight="1" thickTop="1" thickBot="1" x14ac:dyDescent="0.25">
      <c r="A51" s="286" t="s">
        <v>5</v>
      </c>
      <c r="B51" s="287"/>
      <c r="C51" s="31"/>
      <c r="D51" s="31"/>
      <c r="E51" s="31"/>
      <c r="F51" s="31"/>
      <c r="G51" s="31"/>
      <c r="H51" s="32"/>
    </row>
    <row r="52" spans="1:9" ht="18" customHeight="1" thickTop="1" thickBot="1" x14ac:dyDescent="0.25">
      <c r="A52" s="288" t="s">
        <v>39</v>
      </c>
      <c r="B52" s="289"/>
      <c r="C52" s="289"/>
      <c r="D52" s="289"/>
      <c r="E52" s="289"/>
      <c r="F52" s="289"/>
      <c r="G52" s="290"/>
      <c r="H52" s="58">
        <f>SUM(H47:H50)+H44</f>
        <v>2333.6172630354213</v>
      </c>
      <c r="I52" s="45"/>
    </row>
    <row r="53" spans="1:9" ht="13.5" thickTop="1" x14ac:dyDescent="0.2"/>
  </sheetData>
  <mergeCells count="44">
    <mergeCell ref="A1:B5"/>
    <mergeCell ref="C1:E1"/>
    <mergeCell ref="D2:G2"/>
    <mergeCell ref="C3:E3"/>
    <mergeCell ref="C4:C5"/>
    <mergeCell ref="D4:G5"/>
    <mergeCell ref="A6:C9"/>
    <mergeCell ref="D6:F9"/>
    <mergeCell ref="G6:H9"/>
    <mergeCell ref="A10:G11"/>
    <mergeCell ref="B13:B14"/>
    <mergeCell ref="C13:F14"/>
    <mergeCell ref="A26:E26"/>
    <mergeCell ref="A15:B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41:B41"/>
    <mergeCell ref="A27:B27"/>
    <mergeCell ref="A28:B28"/>
    <mergeCell ref="A29:B29"/>
    <mergeCell ref="A30:B30"/>
    <mergeCell ref="A31:B31"/>
    <mergeCell ref="A33:D33"/>
    <mergeCell ref="A34:D34"/>
    <mergeCell ref="A35:D35"/>
    <mergeCell ref="A36:D36"/>
    <mergeCell ref="A38:D38"/>
    <mergeCell ref="A39:B39"/>
    <mergeCell ref="A51:B51"/>
    <mergeCell ref="A52:G52"/>
    <mergeCell ref="A44:F44"/>
    <mergeCell ref="A46:C46"/>
    <mergeCell ref="A47:D47"/>
    <mergeCell ref="A48:F48"/>
    <mergeCell ref="A49:F49"/>
    <mergeCell ref="A50:F50"/>
  </mergeCells>
  <printOptions horizontalCentered="1" verticalCentered="1"/>
  <pageMargins left="0.43307086614173229" right="0.35433070866141736" top="0.41" bottom="0.42" header="0.33" footer="0.36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5FC3-ACB1-467C-905D-D1C757331C16}">
  <sheetPr>
    <tabColor rgb="FF00B050"/>
    <pageSetUpPr fitToPage="1"/>
  </sheetPr>
  <dimension ref="A1:I53"/>
  <sheetViews>
    <sheetView topLeftCell="A28" zoomScale="90" zoomScaleNormal="90" workbookViewId="0">
      <selection activeCell="G26" sqref="G26"/>
    </sheetView>
  </sheetViews>
  <sheetFormatPr baseColWidth="10" defaultColWidth="11.42578125" defaultRowHeight="12.75" x14ac:dyDescent="0.2"/>
  <cols>
    <col min="2" max="2" width="12.85546875" customWidth="1"/>
    <col min="3" max="3" width="11.85546875" customWidth="1"/>
    <col min="4" max="4" width="12.42578125" customWidth="1"/>
    <col min="8" max="8" width="14.85546875" customWidth="1"/>
    <col min="9" max="9" width="11.42578125" style="44"/>
  </cols>
  <sheetData>
    <row r="1" spans="1:8" ht="13.5" thickTop="1" x14ac:dyDescent="0.2">
      <c r="A1" s="344"/>
      <c r="B1" s="345"/>
      <c r="C1" s="350"/>
      <c r="D1" s="351"/>
      <c r="E1" s="351"/>
      <c r="F1" s="46"/>
      <c r="G1" s="47"/>
      <c r="H1" s="48"/>
    </row>
    <row r="2" spans="1:8" ht="18" x14ac:dyDescent="0.2">
      <c r="A2" s="346"/>
      <c r="B2" s="347"/>
      <c r="C2" s="49" t="s">
        <v>62</v>
      </c>
      <c r="D2" s="352"/>
      <c r="E2" s="352"/>
      <c r="F2" s="352"/>
      <c r="G2" s="353"/>
      <c r="H2" s="50" t="s">
        <v>61</v>
      </c>
    </row>
    <row r="3" spans="1:8" x14ac:dyDescent="0.2">
      <c r="A3" s="346"/>
      <c r="B3" s="347"/>
      <c r="C3" s="354"/>
      <c r="D3" s="355"/>
      <c r="E3" s="355"/>
      <c r="G3" s="51"/>
      <c r="H3" s="52"/>
    </row>
    <row r="4" spans="1:8" ht="18" x14ac:dyDescent="0.2">
      <c r="A4" s="346"/>
      <c r="B4" s="347"/>
      <c r="C4" s="356" t="s">
        <v>64</v>
      </c>
      <c r="D4" s="352" t="str">
        <f>Catalogo!E3</f>
        <v>OBRA, MANTENIMIENTO A UNIDADES 1, 2 Y 4 DE LA C.T. EMILIO PORTES GIL INSTALACIÓN DE AISLAMIENTOS TÉRMICOS PARA EL PARO PROGRAMADO DEL AÑO 2026</v>
      </c>
      <c r="E4" s="352"/>
      <c r="F4" s="352"/>
      <c r="G4" s="353"/>
      <c r="H4" s="50">
        <v>11</v>
      </c>
    </row>
    <row r="5" spans="1:8" ht="13.5" thickBot="1" x14ac:dyDescent="0.25">
      <c r="A5" s="348"/>
      <c r="B5" s="349"/>
      <c r="C5" s="357"/>
      <c r="D5" s="358"/>
      <c r="E5" s="358"/>
      <c r="F5" s="358"/>
      <c r="G5" s="359"/>
      <c r="H5" s="53"/>
    </row>
    <row r="6" spans="1:8" ht="14.45" customHeight="1" thickTop="1" x14ac:dyDescent="0.2">
      <c r="A6" s="326" t="s">
        <v>65</v>
      </c>
      <c r="B6" s="326"/>
      <c r="C6" s="326"/>
      <c r="D6" s="326" t="s">
        <v>66</v>
      </c>
      <c r="E6" s="326"/>
      <c r="F6" s="326"/>
      <c r="G6" s="329" t="s">
        <v>67</v>
      </c>
      <c r="H6" s="329"/>
    </row>
    <row r="7" spans="1:8" x14ac:dyDescent="0.2">
      <c r="A7" s="327"/>
      <c r="B7" s="327"/>
      <c r="C7" s="327"/>
      <c r="D7" s="327"/>
      <c r="E7" s="327"/>
      <c r="F7" s="327"/>
      <c r="G7" s="330"/>
      <c r="H7" s="330"/>
    </row>
    <row r="8" spans="1:8" ht="14.45" customHeight="1" x14ac:dyDescent="0.2">
      <c r="A8" s="327"/>
      <c r="B8" s="327"/>
      <c r="C8" s="327"/>
      <c r="D8" s="327"/>
      <c r="E8" s="327"/>
      <c r="F8" s="327"/>
      <c r="G8" s="330"/>
      <c r="H8" s="330"/>
    </row>
    <row r="9" spans="1:8" ht="14.45" customHeight="1" thickBot="1" x14ac:dyDescent="0.25">
      <c r="A9" s="328"/>
      <c r="B9" s="328"/>
      <c r="C9" s="328"/>
      <c r="D9" s="328"/>
      <c r="E9" s="328"/>
      <c r="F9" s="328"/>
      <c r="G9" s="331"/>
      <c r="H9" s="331"/>
    </row>
    <row r="10" spans="1:8" ht="13.5" thickTop="1" x14ac:dyDescent="0.2">
      <c r="A10" s="332" t="s">
        <v>68</v>
      </c>
      <c r="B10" s="333"/>
      <c r="C10" s="333"/>
      <c r="D10" s="333"/>
      <c r="E10" s="333"/>
      <c r="F10" s="333"/>
      <c r="G10" s="334"/>
      <c r="H10" s="43" t="s">
        <v>263</v>
      </c>
    </row>
    <row r="11" spans="1:8" ht="13.5" thickBot="1" x14ac:dyDescent="0.25">
      <c r="A11" s="335"/>
      <c r="B11" s="336"/>
      <c r="C11" s="336"/>
      <c r="D11" s="336"/>
      <c r="E11" s="336"/>
      <c r="F11" s="336"/>
      <c r="G11" s="337"/>
      <c r="H11" s="56" t="s">
        <v>202</v>
      </c>
    </row>
    <row r="12" spans="1:8" ht="4.5" customHeight="1" thickTop="1" thickBot="1" x14ac:dyDescent="0.25"/>
    <row r="13" spans="1:8" ht="18.75" customHeight="1" thickTop="1" thickBot="1" x14ac:dyDescent="0.25">
      <c r="A13" s="119" t="s">
        <v>260</v>
      </c>
      <c r="B13" s="338" t="s">
        <v>6</v>
      </c>
      <c r="C13" s="340" t="s">
        <v>253</v>
      </c>
      <c r="D13" s="340"/>
      <c r="E13" s="340"/>
      <c r="F13" s="341"/>
      <c r="G13" s="54" t="s">
        <v>0</v>
      </c>
      <c r="H13" s="54" t="s">
        <v>45</v>
      </c>
    </row>
    <row r="14" spans="1:8" ht="15.75" customHeight="1" thickBot="1" x14ac:dyDescent="0.25">
      <c r="A14" s="118" t="s">
        <v>240</v>
      </c>
      <c r="B14" s="339"/>
      <c r="C14" s="342"/>
      <c r="D14" s="342"/>
      <c r="E14" s="342"/>
      <c r="F14" s="343"/>
      <c r="G14" s="55" t="s">
        <v>1</v>
      </c>
      <c r="H14" s="57"/>
    </row>
    <row r="15" spans="1:8" ht="12" customHeight="1" thickTop="1" thickBot="1" x14ac:dyDescent="0.25">
      <c r="A15" s="300" t="s">
        <v>40</v>
      </c>
      <c r="B15" s="301"/>
      <c r="C15" s="3"/>
      <c r="D15" s="3"/>
      <c r="E15" s="3"/>
      <c r="F15" s="3"/>
      <c r="G15" s="3"/>
      <c r="H15" s="4"/>
    </row>
    <row r="16" spans="1:8" ht="12" customHeight="1" thickTop="1" thickBot="1" x14ac:dyDescent="0.25">
      <c r="A16" s="321" t="s">
        <v>7</v>
      </c>
      <c r="B16" s="322"/>
      <c r="C16" s="322"/>
      <c r="D16" s="323"/>
      <c r="E16" s="5" t="s">
        <v>0</v>
      </c>
      <c r="F16" s="6" t="s">
        <v>8</v>
      </c>
      <c r="G16" s="5" t="s">
        <v>9</v>
      </c>
      <c r="H16" s="5" t="s">
        <v>10</v>
      </c>
    </row>
    <row r="17" spans="1:9" ht="14.25" customHeight="1" thickTop="1" thickBot="1" x14ac:dyDescent="0.25">
      <c r="A17" s="324" t="str">
        <f>Materiales!B4</f>
        <v>ALMBRE GALVANIZADO CAL. 18</v>
      </c>
      <c r="B17" s="325"/>
      <c r="C17" s="325"/>
      <c r="D17" s="325"/>
      <c r="E17" s="246" t="str">
        <f>Materiales!C4</f>
        <v>KG</v>
      </c>
      <c r="F17" s="121">
        <f>Materiales!F4</f>
        <v>97.195301999999998</v>
      </c>
      <c r="G17" s="216">
        <v>0.05</v>
      </c>
      <c r="H17" s="62">
        <f t="shared" ref="H17:H25" si="0">+F17*G17</f>
        <v>4.8597651000000006</v>
      </c>
      <c r="I17" s="108"/>
    </row>
    <row r="18" spans="1:9" ht="14.25" customHeight="1" thickTop="1" thickBot="1" x14ac:dyDescent="0.25">
      <c r="A18" s="324" t="str">
        <f>Materiales!B5</f>
        <v>PRIMARIO ANTICORROSIVO CFE-P34</v>
      </c>
      <c r="B18" s="325"/>
      <c r="C18" s="325"/>
      <c r="D18" s="325"/>
      <c r="E18" s="246" t="str">
        <f>Materiales!C5</f>
        <v>L</v>
      </c>
      <c r="F18" s="121">
        <f>Materiales!F5</f>
        <v>392.411541</v>
      </c>
      <c r="G18" s="228">
        <v>0.22</v>
      </c>
      <c r="H18" s="62">
        <f t="shared" si="0"/>
        <v>86.330539020000003</v>
      </c>
      <c r="I18" s="108"/>
    </row>
    <row r="19" spans="1:9" ht="14.25" customHeight="1" thickTop="1" thickBot="1" x14ac:dyDescent="0.25">
      <c r="A19" s="324" t="str">
        <f>Materiales!B6</f>
        <v>SOLVENTE CATALIZADOR CFE-P34</v>
      </c>
      <c r="B19" s="325"/>
      <c r="C19" s="325"/>
      <c r="D19" s="325"/>
      <c r="E19" s="246" t="str">
        <f>Materiales!C6</f>
        <v>L</v>
      </c>
      <c r="F19" s="121">
        <f>Materiales!F6</f>
        <v>122.02800000000001</v>
      </c>
      <c r="G19" s="228">
        <v>0.09</v>
      </c>
      <c r="H19" s="62">
        <f t="shared" si="0"/>
        <v>10.982520000000001</v>
      </c>
      <c r="I19" s="108"/>
    </row>
    <row r="20" spans="1:9" ht="14.25" customHeight="1" thickTop="1" thickBot="1" x14ac:dyDescent="0.25">
      <c r="A20" s="324" t="str">
        <f>Materiales!B10</f>
        <v>BROCHA DE 2"</v>
      </c>
      <c r="B20" s="325"/>
      <c r="C20" s="325"/>
      <c r="D20" s="325"/>
      <c r="E20" s="246" t="str">
        <f>Materiales!C10</f>
        <v>PZA</v>
      </c>
      <c r="F20" s="121">
        <f>Materiales!F10</f>
        <v>63.556249999999999</v>
      </c>
      <c r="G20" s="228">
        <v>0.1</v>
      </c>
      <c r="H20" s="62">
        <f t="shared" si="0"/>
        <v>6.3556249999999999</v>
      </c>
      <c r="I20" s="108"/>
    </row>
    <row r="21" spans="1:9" ht="21" customHeight="1" thickTop="1" thickBot="1" x14ac:dyDescent="0.25">
      <c r="A21" s="324" t="str">
        <f>Materiales!B12</f>
        <v>COLCHA ARMADA DE LANA MINERAL DE 2´X8´X4" DE ESPESOR CON UNA DENSIDAD DE 12 LBR/PIES</v>
      </c>
      <c r="B21" s="325"/>
      <c r="C21" s="325"/>
      <c r="D21" s="325"/>
      <c r="E21" s="246" t="str">
        <f>Materiales!C12</f>
        <v>M2</v>
      </c>
      <c r="F21" s="121">
        <f>Materiales!F12</f>
        <v>957.15712499999995</v>
      </c>
      <c r="G21" s="228">
        <v>1.2</v>
      </c>
      <c r="H21" s="62">
        <f t="shared" si="0"/>
        <v>1148.5885499999999</v>
      </c>
      <c r="I21" s="108"/>
    </row>
    <row r="22" spans="1:9" ht="14.25" customHeight="1" thickTop="1" thickBot="1" x14ac:dyDescent="0.25">
      <c r="A22" s="324" t="str">
        <f>Materiales!B13</f>
        <v>CEMENTO MONOLITICO</v>
      </c>
      <c r="B22" s="325"/>
      <c r="C22" s="325"/>
      <c r="D22" s="325"/>
      <c r="E22" s="246" t="str">
        <f>Materiales!C13</f>
        <v>KG</v>
      </c>
      <c r="F22" s="121">
        <f>Materiales!F13</f>
        <v>14.490824999999999</v>
      </c>
      <c r="G22" s="228">
        <v>6</v>
      </c>
      <c r="H22" s="62">
        <f t="shared" si="0"/>
        <v>86.944949999999992</v>
      </c>
      <c r="I22" s="108"/>
    </row>
    <row r="23" spans="1:9" ht="14.25" customHeight="1" thickTop="1" thickBot="1" x14ac:dyDescent="0.25">
      <c r="A23" s="324" t="str">
        <f>Materiales!B14</f>
        <v>IMPERMEABILIZANTE HI MASTIC</v>
      </c>
      <c r="B23" s="325"/>
      <c r="C23" s="325"/>
      <c r="D23" s="325"/>
      <c r="E23" s="246" t="str">
        <f>Materiales!C14</f>
        <v>L</v>
      </c>
      <c r="F23" s="121">
        <f>Materiales!F14</f>
        <v>96.971583999999993</v>
      </c>
      <c r="G23" s="228">
        <v>0.3</v>
      </c>
      <c r="H23" s="62">
        <f t="shared" si="0"/>
        <v>29.091475199999998</v>
      </c>
      <c r="I23" s="108"/>
    </row>
    <row r="24" spans="1:9" ht="14.25" customHeight="1" thickTop="1" thickBot="1" x14ac:dyDescent="0.25">
      <c r="A24" s="324" t="str">
        <f>Materiales!B18</f>
        <v>P31 RECUBRIMIENTO PARA ALTAS TEMPERATURAS COLOR ALUMINIO</v>
      </c>
      <c r="B24" s="325"/>
      <c r="C24" s="325"/>
      <c r="D24" s="325"/>
      <c r="E24" s="246" t="str">
        <f>Materiales!C18</f>
        <v>L</v>
      </c>
      <c r="F24" s="121">
        <f>Materiales!F18</f>
        <v>638</v>
      </c>
      <c r="G24" s="228">
        <v>0.34</v>
      </c>
      <c r="H24" s="62">
        <f t="shared" si="0"/>
        <v>216.92000000000002</v>
      </c>
      <c r="I24" s="108"/>
    </row>
    <row r="25" spans="1:9" ht="14.25" customHeight="1" thickTop="1" thickBot="1" x14ac:dyDescent="0.25">
      <c r="A25" s="324" t="str">
        <f>Materiales!B19</f>
        <v>ADELGAZADOR PARA CFE-P31</v>
      </c>
      <c r="B25" s="325"/>
      <c r="C25" s="325"/>
      <c r="D25" s="325"/>
      <c r="E25" s="246" t="str">
        <f>Materiales!C19</f>
        <v>L</v>
      </c>
      <c r="F25" s="121">
        <f>Materiales!F19</f>
        <v>100.2</v>
      </c>
      <c r="G25" s="228">
        <v>0.09</v>
      </c>
      <c r="H25" s="62">
        <f t="shared" si="0"/>
        <v>9.0180000000000007</v>
      </c>
      <c r="I25" s="108"/>
    </row>
    <row r="26" spans="1:9" ht="12" customHeight="1" thickBot="1" x14ac:dyDescent="0.25">
      <c r="A26" s="318"/>
      <c r="B26" s="319"/>
      <c r="C26" s="319"/>
      <c r="D26" s="319"/>
      <c r="E26" s="320"/>
      <c r="F26" s="65" t="s">
        <v>11</v>
      </c>
      <c r="G26" s="11"/>
      <c r="H26" s="66">
        <f>SUM(H17:H25)</f>
        <v>1599.0914243200002</v>
      </c>
      <c r="I26" s="108"/>
    </row>
    <row r="27" spans="1:9" ht="12" customHeight="1" thickTop="1" thickBot="1" x14ac:dyDescent="0.25">
      <c r="A27" s="300" t="s">
        <v>3</v>
      </c>
      <c r="B27" s="301"/>
      <c r="C27" s="3"/>
      <c r="D27" s="3"/>
      <c r="E27" s="3"/>
      <c r="F27" s="85"/>
      <c r="G27" s="3"/>
      <c r="H27" s="4"/>
    </row>
    <row r="28" spans="1:9" ht="12" customHeight="1" thickTop="1" thickBot="1" x14ac:dyDescent="0.25">
      <c r="A28" s="302" t="s">
        <v>12</v>
      </c>
      <c r="B28" s="303"/>
      <c r="C28" s="23" t="s">
        <v>0</v>
      </c>
      <c r="D28" s="20" t="s">
        <v>13</v>
      </c>
      <c r="E28" s="22" t="s">
        <v>14</v>
      </c>
      <c r="F28" s="80" t="s">
        <v>15</v>
      </c>
      <c r="G28" s="23" t="s">
        <v>16</v>
      </c>
      <c r="H28" s="20" t="s">
        <v>17</v>
      </c>
    </row>
    <row r="29" spans="1:9" ht="18.600000000000001" customHeight="1" thickBot="1" x14ac:dyDescent="0.25">
      <c r="A29" s="304" t="str">
        <f>'CUADR 2'!C13</f>
        <v>CUADRILLA no.2 ALBAÑILERIA (0.2 DE CABO DE OF. +  1 OF. ALBAÑIL + 1  AY. OFICIALES)</v>
      </c>
      <c r="B29" s="304"/>
      <c r="C29" s="252" t="s">
        <v>63</v>
      </c>
      <c r="D29" s="116">
        <f>'CUADR 2'!H48</f>
        <v>1525.2612521082979</v>
      </c>
      <c r="E29" s="246">
        <v>1</v>
      </c>
      <c r="F29" s="270">
        <f>D29*E29</f>
        <v>1525.2612521082979</v>
      </c>
      <c r="G29" s="253">
        <v>14</v>
      </c>
      <c r="H29" s="271">
        <f>F29/G29</f>
        <v>108.94723229344984</v>
      </c>
    </row>
    <row r="30" spans="1:9" ht="18.600000000000001" customHeight="1" thickBot="1" x14ac:dyDescent="0.25">
      <c r="A30" s="305" t="str">
        <f>'CUADR 3'!C13</f>
        <v>CUADRILLA no.3 AISLAMIENTOS  (0.3 DE CABO DE OF  1 OF.  AISLADOR  + 2 AYUD OFICIAL.)</v>
      </c>
      <c r="B30" s="306"/>
      <c r="C30" s="252" t="s">
        <v>63</v>
      </c>
      <c r="D30" s="116">
        <f>'CUADR 3'!H48</f>
        <v>2253.5629213639095</v>
      </c>
      <c r="E30" s="266">
        <v>1</v>
      </c>
      <c r="F30" s="270">
        <f>D30*E30</f>
        <v>2253.5629213639095</v>
      </c>
      <c r="G30" s="268">
        <v>14</v>
      </c>
      <c r="H30" s="271">
        <f>F30/G30</f>
        <v>160.9687800974221</v>
      </c>
    </row>
    <row r="31" spans="1:9" ht="23.1" customHeight="1" thickBot="1" x14ac:dyDescent="0.25">
      <c r="A31" s="307" t="str">
        <f>'CUADR 1'!C13</f>
        <v>CUADRILLA no.1 PINTURA (0.2 DE CABO DE OF. + 1 OF.  PINTORES + 1 AYUD. OFICIAL )</v>
      </c>
      <c r="B31" s="308"/>
      <c r="C31" s="264" t="s">
        <v>63</v>
      </c>
      <c r="D31" s="265">
        <f>'CUADR 1'!H48</f>
        <v>1525.2612521082979</v>
      </c>
      <c r="E31" s="266">
        <v>1</v>
      </c>
      <c r="F31" s="267">
        <f>D31*E31</f>
        <v>1525.2612521082979</v>
      </c>
      <c r="G31" s="268">
        <v>14</v>
      </c>
      <c r="H31" s="269">
        <f>F31/G31</f>
        <v>108.94723229344984</v>
      </c>
    </row>
    <row r="32" spans="1:9" ht="12" customHeight="1" thickBot="1" x14ac:dyDescent="0.25">
      <c r="A32" s="14"/>
      <c r="B32" s="15"/>
      <c r="C32" s="15"/>
      <c r="D32" s="15"/>
      <c r="E32" s="9"/>
      <c r="F32" s="12" t="s">
        <v>18</v>
      </c>
      <c r="G32" s="5"/>
      <c r="H32" s="16">
        <f>SUM(H29:H31)</f>
        <v>378.86324468432178</v>
      </c>
    </row>
    <row r="33" spans="1:9" ht="12" customHeight="1" thickTop="1" thickBot="1" x14ac:dyDescent="0.25">
      <c r="A33" s="309" t="s">
        <v>19</v>
      </c>
      <c r="B33" s="310"/>
      <c r="C33" s="310"/>
      <c r="D33" s="310"/>
      <c r="E33" s="85"/>
      <c r="F33" s="85"/>
      <c r="G33" s="85"/>
      <c r="H33" s="86"/>
    </row>
    <row r="34" spans="1:9" ht="12" customHeight="1" thickBot="1" x14ac:dyDescent="0.25">
      <c r="A34" s="311" t="s">
        <v>7</v>
      </c>
      <c r="B34" s="312"/>
      <c r="C34" s="312"/>
      <c r="D34" s="313"/>
      <c r="E34" s="87" t="s">
        <v>0</v>
      </c>
      <c r="F34" s="87" t="s">
        <v>20</v>
      </c>
      <c r="G34" s="87" t="s">
        <v>21</v>
      </c>
      <c r="H34" s="88" t="s">
        <v>22</v>
      </c>
    </row>
    <row r="35" spans="1:9" ht="12" customHeight="1" thickTop="1" thickBot="1" x14ac:dyDescent="0.25">
      <c r="A35" s="314" t="str">
        <f>EQUIPOS!C4</f>
        <v>ANDAMIOS CON CANASTILLA Y GUINDOLA</v>
      </c>
      <c r="B35" s="315"/>
      <c r="C35" s="315"/>
      <c r="D35" s="315"/>
      <c r="E35" s="218" t="str">
        <f>EQUIPOS!D4</f>
        <v>HORA</v>
      </c>
      <c r="F35" s="263">
        <f>EQUIPOS!G4</f>
        <v>54.556685000000002</v>
      </c>
      <c r="G35" s="219">
        <v>2</v>
      </c>
      <c r="H35" s="60">
        <f>F35/G35</f>
        <v>27.278342500000001</v>
      </c>
      <c r="I35" s="109"/>
    </row>
    <row r="36" spans="1:9" ht="24" customHeight="1" thickTop="1" thickBot="1" x14ac:dyDescent="0.25">
      <c r="A36" s="314" t="str">
        <f>EQUIPOS!C5</f>
        <v>CAMION DOBLE RODADA CHEVROLET SILVERADO CON PLATAFORMA DE REDILAS CARGA HASTA 2 1/2 TON.</v>
      </c>
      <c r="B36" s="315"/>
      <c r="C36" s="315"/>
      <c r="D36" s="315"/>
      <c r="E36" s="218" t="str">
        <f>EQUIPOS!D5</f>
        <v>HORA</v>
      </c>
      <c r="F36" s="263">
        <f>EQUIPOS!G5</f>
        <v>567.42003099999999</v>
      </c>
      <c r="G36" s="219">
        <v>36</v>
      </c>
      <c r="H36" s="60">
        <f t="shared" ref="H36" si="1">F36/G36</f>
        <v>15.761667527777778</v>
      </c>
      <c r="I36" s="109"/>
    </row>
    <row r="37" spans="1:9" ht="12" customHeight="1" thickBot="1" x14ac:dyDescent="0.25">
      <c r="A37" s="17"/>
      <c r="B37" s="18"/>
      <c r="C37" s="18"/>
      <c r="D37" s="18"/>
      <c r="E37" s="6"/>
      <c r="F37" s="117" t="s">
        <v>23</v>
      </c>
      <c r="G37" s="87"/>
      <c r="H37" s="217">
        <f>SUM(H35:H36)</f>
        <v>43.040010027777782</v>
      </c>
      <c r="I37" s="109"/>
    </row>
    <row r="38" spans="1:9" ht="12" customHeight="1" thickTop="1" thickBot="1" x14ac:dyDescent="0.25">
      <c r="A38" s="300" t="s">
        <v>24</v>
      </c>
      <c r="B38" s="301"/>
      <c r="C38" s="301"/>
      <c r="D38" s="301"/>
      <c r="E38" s="3"/>
      <c r="F38" s="3"/>
      <c r="G38" s="3"/>
      <c r="H38" s="4"/>
    </row>
    <row r="39" spans="1:9" ht="12" customHeight="1" thickTop="1" thickBot="1" x14ac:dyDescent="0.25">
      <c r="A39" s="316" t="s">
        <v>25</v>
      </c>
      <c r="B39" s="317"/>
      <c r="C39" s="19"/>
      <c r="D39" s="19"/>
      <c r="E39" s="20"/>
      <c r="F39" s="21" t="s">
        <v>26</v>
      </c>
      <c r="G39" s="6" t="s">
        <v>27</v>
      </c>
      <c r="H39" s="6" t="s">
        <v>28</v>
      </c>
    </row>
    <row r="40" spans="1:9" ht="12" customHeight="1" thickTop="1" thickBot="1" x14ac:dyDescent="0.25">
      <c r="A40" s="17"/>
      <c r="B40" s="18"/>
      <c r="C40" s="18"/>
      <c r="D40" s="18"/>
      <c r="E40" s="6"/>
      <c r="F40" s="244">
        <f>SOBRECOSTOS!E13</f>
        <v>3.6666666666666667E-2</v>
      </c>
      <c r="G40" s="78">
        <f>+H32</f>
        <v>378.86324468432178</v>
      </c>
      <c r="H40" s="69">
        <f>+F40*G40</f>
        <v>13.891652305091799</v>
      </c>
      <c r="I40" s="110"/>
    </row>
    <row r="41" spans="1:9" ht="12" customHeight="1" thickTop="1" thickBot="1" x14ac:dyDescent="0.25">
      <c r="A41" s="298" t="s">
        <v>29</v>
      </c>
      <c r="B41" s="299"/>
      <c r="C41" s="22"/>
      <c r="D41" s="22"/>
      <c r="E41" s="23"/>
      <c r="F41" s="79" t="s">
        <v>30</v>
      </c>
      <c r="G41" s="80" t="s">
        <v>27</v>
      </c>
      <c r="H41" s="81" t="s">
        <v>31</v>
      </c>
      <c r="I41" s="111"/>
    </row>
    <row r="42" spans="1:9" ht="12" customHeight="1" thickBot="1" x14ac:dyDescent="0.25">
      <c r="A42" s="13"/>
      <c r="B42" s="12"/>
      <c r="C42" s="12"/>
      <c r="D42" s="12"/>
      <c r="E42" s="5"/>
      <c r="F42" s="245">
        <f>SOBRECOSTOS!E14</f>
        <v>3.3333333333333333E-2</v>
      </c>
      <c r="G42" s="76">
        <f>+H32</f>
        <v>378.86324468432178</v>
      </c>
      <c r="H42" s="75">
        <f>+F42*G42</f>
        <v>12.628774822810726</v>
      </c>
      <c r="I42" s="110"/>
    </row>
    <row r="43" spans="1:9" ht="12" customHeight="1" thickTop="1" thickBot="1" x14ac:dyDescent="0.25">
      <c r="A43" s="10"/>
      <c r="B43" s="7"/>
      <c r="C43" s="7"/>
      <c r="D43" s="7"/>
      <c r="E43" s="8"/>
      <c r="F43" s="18" t="s">
        <v>32</v>
      </c>
      <c r="G43" s="6"/>
      <c r="H43" s="16">
        <f>+H40+H42</f>
        <v>26.520427127902526</v>
      </c>
      <c r="I43" s="110"/>
    </row>
    <row r="44" spans="1:9" ht="12" customHeight="1" thickTop="1" thickBot="1" x14ac:dyDescent="0.25">
      <c r="A44" s="291" t="s">
        <v>33</v>
      </c>
      <c r="B44" s="292"/>
      <c r="C44" s="292"/>
      <c r="D44" s="292"/>
      <c r="E44" s="292"/>
      <c r="F44" s="292"/>
      <c r="G44" s="6"/>
      <c r="H44" s="16">
        <f>+H26+H32+H37+H43</f>
        <v>2047.5151061600025</v>
      </c>
      <c r="I44" s="108"/>
    </row>
    <row r="45" spans="1:9" ht="12" customHeight="1" thickTop="1" thickBot="1" x14ac:dyDescent="0.25">
      <c r="A45" s="24"/>
      <c r="B45" s="25"/>
      <c r="C45" s="25"/>
      <c r="D45" s="25"/>
      <c r="E45" s="25"/>
      <c r="F45" s="25"/>
      <c r="G45" s="25"/>
      <c r="H45" s="25"/>
    </row>
    <row r="46" spans="1:9" ht="12" customHeight="1" thickTop="1" thickBot="1" x14ac:dyDescent="0.25">
      <c r="A46" s="293" t="s">
        <v>34</v>
      </c>
      <c r="B46" s="294"/>
      <c r="C46" s="294"/>
      <c r="D46" s="26"/>
      <c r="E46" s="26"/>
      <c r="F46" s="2"/>
      <c r="G46" s="2" t="s">
        <v>4</v>
      </c>
      <c r="H46" s="2" t="s">
        <v>2</v>
      </c>
    </row>
    <row r="47" spans="1:9" ht="12" customHeight="1" thickTop="1" thickBot="1" x14ac:dyDescent="0.25">
      <c r="A47" s="295" t="s">
        <v>35</v>
      </c>
      <c r="B47" s="296"/>
      <c r="C47" s="296"/>
      <c r="D47" s="296"/>
      <c r="E47" s="27"/>
      <c r="F47" s="28"/>
      <c r="G47" s="29">
        <f>SOBRECOSTOS!E9</f>
        <v>0.21278866666666665</v>
      </c>
      <c r="H47" s="30">
        <f>+G47*H44</f>
        <v>435.68800941964537</v>
      </c>
    </row>
    <row r="48" spans="1:9" ht="12" customHeight="1" thickTop="1" thickBot="1" x14ac:dyDescent="0.25">
      <c r="A48" s="295" t="s">
        <v>36</v>
      </c>
      <c r="B48" s="296"/>
      <c r="C48" s="296"/>
      <c r="D48" s="296"/>
      <c r="E48" s="296"/>
      <c r="F48" s="297"/>
      <c r="G48" s="29">
        <f>SOBRECOSTOS!E10</f>
        <v>1.0568333333333334E-2</v>
      </c>
      <c r="H48" s="30">
        <f>(H44+H47)*G48</f>
        <v>26.243318259817578</v>
      </c>
    </row>
    <row r="49" spans="1:9" ht="12" customHeight="1" thickTop="1" thickBot="1" x14ac:dyDescent="0.25">
      <c r="A49" s="295" t="s">
        <v>37</v>
      </c>
      <c r="B49" s="296"/>
      <c r="C49" s="296"/>
      <c r="D49" s="296"/>
      <c r="E49" s="296"/>
      <c r="F49" s="297"/>
      <c r="G49" s="29">
        <f>SOBRECOSTOS!E11</f>
        <v>9.3333333333333338E-2</v>
      </c>
      <c r="H49" s="30">
        <f>(H44+H47+H48)*G49</f>
        <v>234.21500049168341</v>
      </c>
    </row>
    <row r="50" spans="1:9" ht="12" customHeight="1" thickTop="1" thickBot="1" x14ac:dyDescent="0.25">
      <c r="A50" s="295" t="s">
        <v>38</v>
      </c>
      <c r="B50" s="296"/>
      <c r="C50" s="296"/>
      <c r="D50" s="296"/>
      <c r="E50" s="296"/>
      <c r="F50" s="297"/>
      <c r="G50" s="29">
        <f>SOBRECOSTOS!E12</f>
        <v>8.0053333333333331E-3</v>
      </c>
      <c r="H50" s="30">
        <f>(H44+H47+H48+H49)*G50</f>
        <v>21.963924335632285</v>
      </c>
    </row>
    <row r="51" spans="1:9" ht="12" customHeight="1" thickTop="1" thickBot="1" x14ac:dyDescent="0.25">
      <c r="A51" s="286" t="s">
        <v>5</v>
      </c>
      <c r="B51" s="287"/>
      <c r="C51" s="31"/>
      <c r="D51" s="31"/>
      <c r="E51" s="31"/>
      <c r="F51" s="31"/>
      <c r="G51" s="31"/>
      <c r="H51" s="32"/>
    </row>
    <row r="52" spans="1:9" ht="18" customHeight="1" thickTop="1" thickBot="1" x14ac:dyDescent="0.25">
      <c r="A52" s="288" t="s">
        <v>39</v>
      </c>
      <c r="B52" s="289"/>
      <c r="C52" s="289"/>
      <c r="D52" s="289"/>
      <c r="E52" s="289"/>
      <c r="F52" s="289"/>
      <c r="G52" s="290"/>
      <c r="H52" s="58">
        <f>SUM(H47:H50)+H44</f>
        <v>2765.6253586667813</v>
      </c>
      <c r="I52" s="45"/>
    </row>
    <row r="53" spans="1:9" ht="13.5" thickTop="1" x14ac:dyDescent="0.2"/>
  </sheetData>
  <mergeCells count="44">
    <mergeCell ref="A1:B5"/>
    <mergeCell ref="C1:E1"/>
    <mergeCell ref="D2:G2"/>
    <mergeCell ref="C3:E3"/>
    <mergeCell ref="C4:C5"/>
    <mergeCell ref="D4:G5"/>
    <mergeCell ref="A6:C9"/>
    <mergeCell ref="D6:F9"/>
    <mergeCell ref="G6:H9"/>
    <mergeCell ref="A10:G11"/>
    <mergeCell ref="B13:B14"/>
    <mergeCell ref="C13:F14"/>
    <mergeCell ref="A26:E26"/>
    <mergeCell ref="A15:B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41:B41"/>
    <mergeCell ref="A27:B27"/>
    <mergeCell ref="A28:B28"/>
    <mergeCell ref="A29:B29"/>
    <mergeCell ref="A30:B30"/>
    <mergeCell ref="A31:B31"/>
    <mergeCell ref="A33:D33"/>
    <mergeCell ref="A34:D34"/>
    <mergeCell ref="A35:D35"/>
    <mergeCell ref="A36:D36"/>
    <mergeCell ref="A38:D38"/>
    <mergeCell ref="A39:B39"/>
    <mergeCell ref="A51:B51"/>
    <mergeCell ref="A52:G52"/>
    <mergeCell ref="A44:F44"/>
    <mergeCell ref="A46:C46"/>
    <mergeCell ref="A47:D47"/>
    <mergeCell ref="A48:F48"/>
    <mergeCell ref="A49:F49"/>
    <mergeCell ref="A50:F50"/>
  </mergeCells>
  <printOptions horizontalCentered="1" verticalCentered="1"/>
  <pageMargins left="0.43307086614173229" right="0.35433070866141736" top="0.41" bottom="0.42" header="0.33" footer="0.36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</vt:i4>
      </vt:variant>
    </vt:vector>
  </HeadingPairs>
  <TitlesOfParts>
    <vt:vector size="19" baseType="lpstr">
      <vt:lpstr>1) FSBC</vt:lpstr>
      <vt:lpstr>2) FST</vt:lpstr>
      <vt:lpstr>Salarios</vt:lpstr>
      <vt:lpstr>CUADR 1</vt:lpstr>
      <vt:lpstr>CUADR 2</vt:lpstr>
      <vt:lpstr>CUADR 3</vt:lpstr>
      <vt:lpstr>CUADR 4</vt:lpstr>
      <vt:lpstr>EQUIPOS</vt:lpstr>
      <vt:lpstr>Materiales</vt:lpstr>
      <vt:lpstr>SOBRECOSTOS</vt:lpstr>
      <vt:lpstr>Catalogo</vt:lpstr>
      <vt:lpstr>PU 1.1</vt:lpstr>
      <vt:lpstr>PU 1.2</vt:lpstr>
      <vt:lpstr>PU 1.3</vt:lpstr>
      <vt:lpstr>PU 1.4</vt:lpstr>
      <vt:lpstr>PU 1.5</vt:lpstr>
      <vt:lpstr>PU 1.6</vt:lpstr>
      <vt:lpstr>PU 1.7</vt:lpstr>
      <vt:lpstr>Catalogo!Área_de_impresión</vt:lpstr>
    </vt:vector>
  </TitlesOfParts>
  <Company>Comision Federal de Electricidad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Miguel Angel Luna Nochebuena</dc:creator>
  <cp:lastModifiedBy>Erick Francisco Torua Campa</cp:lastModifiedBy>
  <cp:lastPrinted>2026-03-11T22:42:08Z</cp:lastPrinted>
  <dcterms:created xsi:type="dcterms:W3CDTF">2010-10-26T22:37:18Z</dcterms:created>
  <dcterms:modified xsi:type="dcterms:W3CDTF">2026-08-04T20:24:16Z</dcterms:modified>
</cp:coreProperties>
</file>